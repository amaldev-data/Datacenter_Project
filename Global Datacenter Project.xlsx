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'\OneDrive\Desktop\Project\Project 1- Data Center\Data\Excel_Files\"/>
    </mc:Choice>
  </mc:AlternateContent>
  <xr:revisionPtr revIDLastSave="0" documentId="13_ncr:1_{4E7DFB39-9794-4EB6-8DC5-A15A88632645}" xr6:coauthVersionLast="47" xr6:coauthVersionMax="47" xr10:uidLastSave="{00000000-0000-0000-0000-000000000000}"/>
  <bookViews>
    <workbookView xWindow="-108" yWindow="-108" windowWidth="23256" windowHeight="12456" xr2:uid="{14D75FB8-0BC8-4911-AA3D-D9B57BA5318A}"/>
  </bookViews>
  <sheets>
    <sheet name="Datacenter by countries" sheetId="17" r:id="rId1"/>
    <sheet name="Top_20" sheetId="11" r:id="rId2"/>
    <sheet name="20_companies" sheetId="8" r:id="rId3"/>
    <sheet name="Future_projects" sheetId="9" r:id="rId4"/>
    <sheet name="AQI_Countries" sheetId="12" r:id="rId5"/>
    <sheet name="AQI_Cities" sheetId="15" r:id="rId6"/>
    <sheet name="Political Stablility" sheetId="16" r:id="rId7"/>
  </sheets>
  <externalReferences>
    <externalReference r:id="rId8"/>
  </externalReferences>
  <definedNames>
    <definedName name="ExternalData_1" localSheetId="1" hidden="1">Top_20!$A$1:$M$20</definedName>
    <definedName name="ExternalData_2" localSheetId="0" hidden="1">'Datacenter by countries'!$A$1:$M$192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6" l="1"/>
  <c r="H9" i="16"/>
  <c r="I8" i="16"/>
  <c r="H8" i="16"/>
  <c r="I7" i="16"/>
  <c r="H7" i="16"/>
  <c r="I6" i="16"/>
  <c r="H6" i="16"/>
  <c r="I5" i="16"/>
  <c r="H5" i="16"/>
  <c r="I4" i="16"/>
  <c r="H4" i="16"/>
  <c r="I3" i="16"/>
  <c r="H3" i="16"/>
  <c r="I2" i="16"/>
  <c r="H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A978D-D5BE-4A5F-AF45-E58FB5B3815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9EB83DE-8741-469C-8C05-48DC6E6DEABE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<sst xmlns="http://schemas.openxmlformats.org/spreadsheetml/2006/main" count="2773" uniqueCount="1573">
  <si>
    <t>Country</t>
  </si>
  <si>
    <t>Total Data Center</t>
  </si>
  <si>
    <t>United States</t>
  </si>
  <si>
    <t>Equinix, Digital Realty, CoreSite, AWS</t>
  </si>
  <si>
    <t>Air, Liquid, Immersion</t>
  </si>
  <si>
    <t>Power grid strain in VA, moratoriums in some states</t>
  </si>
  <si>
    <t>Yes, especially for finance/health</t>
  </si>
  <si>
    <t>Solar, wind PPA, immersion cooling, LEED</t>
  </si>
  <si>
    <t>Statista, Brightlio, IEA, CBRE</t>
  </si>
  <si>
    <t>Germany</t>
  </si>
  <si>
    <t>Equinix, Digital Realty, e-shelter</t>
  </si>
  <si>
    <t>Air, Indirect Evap.</t>
  </si>
  <si>
    <t>Power caps in Frankfurt, strict emissions</t>
  </si>
  <si>
    <t>Yes, especially for finance</t>
  </si>
  <si>
    <t>Wind, solar, carbon-neutral push</t>
  </si>
  <si>
    <t>Statista, CBRE, IEA</t>
  </si>
  <si>
    <t>United Kingdom</t>
  </si>
  <si>
    <t>Equinix, Telehouse, Virtus</t>
  </si>
  <si>
    <t>Air, Free Cooling</t>
  </si>
  <si>
    <t>Power grid constraints in London</t>
  </si>
  <si>
    <t>Wind, solar, carbon-neutral targets</t>
  </si>
  <si>
    <t>China</t>
  </si>
  <si>
    <t>China Unicom, Tencent, Alibaba, GDS</t>
  </si>
  <si>
    <t>Air, Liquid</t>
  </si>
  <si>
    <t>Power rationing in some provinces</t>
  </si>
  <si>
    <t>Yes, for government/finance</t>
  </si>
  <si>
    <t>Hydro, wind, solar, green finance</t>
  </si>
  <si>
    <t>France</t>
  </si>
  <si>
    <t>Equinix, Interxion, Data4</t>
  </si>
  <si>
    <t>Power grid constraints in Paris</t>
  </si>
  <si>
    <t>Yes, for finance/health</t>
  </si>
  <si>
    <t>Wind, solar, PUE targets</t>
  </si>
  <si>
    <t>Canada</t>
  </si>
  <si>
    <t>Equinix, Cologix, eStruxture</t>
  </si>
  <si>
    <t>Air, Liquid, Free Cooling</t>
  </si>
  <si>
    <t>Power grid constraints in Toronto/Vancouver</t>
  </si>
  <si>
    <t>Hydro, wind, carbon-neutral push</t>
  </si>
  <si>
    <t>Australia</t>
  </si>
  <si>
    <t>NEXTDC, Equinix, AirTrunk</t>
  </si>
  <si>
    <t>Power grid constraints in Sydney</t>
  </si>
  <si>
    <t>Yes, for finance/tech</t>
  </si>
  <si>
    <t>Solar, wind, carbon-neutral push</t>
  </si>
  <si>
    <t>Netherlands</t>
  </si>
  <si>
    <t>Equinix, Interxion, NorthC</t>
  </si>
  <si>
    <t>Moratorium in Amsterdam (lifted 2021)</t>
  </si>
  <si>
    <t>Yes, especially for finance/tech</t>
  </si>
  <si>
    <t>Wind, solar, green PUE targets</t>
  </si>
  <si>
    <t>Russia</t>
  </si>
  <si>
    <t>IXcellerate, DataPro, Rostelecom</t>
  </si>
  <si>
    <t>Data localization, import restrictions</t>
  </si>
  <si>
    <t>Some wind/solar pilots, limited scale</t>
  </si>
  <si>
    <t>Japan</t>
  </si>
  <si>
    <t>Equinix, NTT, KDDI, Colt</t>
  </si>
  <si>
    <t>Power grid constraints in Tokyo/Osaka</t>
  </si>
  <si>
    <t>Solar, wind, green building codes</t>
  </si>
  <si>
    <t>Brazil</t>
  </si>
  <si>
    <t>Ascenty, ODATA, Equinix</t>
  </si>
  <si>
    <t>Power grid reliability, taxes</t>
  </si>
  <si>
    <t>Solar, wind, green PUE targets</t>
  </si>
  <si>
    <t>Statista, ResearchAndMarkets, IEA</t>
  </si>
  <si>
    <t>Singapore</t>
  </si>
  <si>
    <t>Equinix, Digital Realty, STT GDC</t>
  </si>
  <si>
    <t>Liquid, Air, Immersion</t>
  </si>
  <si>
    <t>Moratorium on new DCs 2019â€“2022, energy caps</t>
  </si>
  <si>
    <t>Solar, seawater cooling, green DC roadmap</t>
  </si>
  <si>
    <t>South Africa</t>
  </si>
  <si>
    <t>Teraco, Africa Data Centres, NTT</t>
  </si>
  <si>
    <t>Power grid instability, rolling blackouts</t>
  </si>
  <si>
    <t>Solar, wind, off-grid pilots</t>
  </si>
  <si>
    <t>Statista, Brightlio, IEA</t>
  </si>
  <si>
    <t>India</t>
  </si>
  <si>
    <t>STT GDC, NTT, CtrlS, AWS</t>
  </si>
  <si>
    <t>Power supply, land acquisition</t>
  </si>
  <si>
    <t>Yes, for BFSI/IT</t>
  </si>
  <si>
    <t>Brightlio, CBRE, IEA</t>
  </si>
  <si>
    <t>Mexico</t>
  </si>
  <si>
    <t>KIO Networks, Equinix, Alestra</t>
  </si>
  <si>
    <t>Power availability in Queretaro, supply constraints</t>
  </si>
  <si>
    <t>Sweden</t>
  </si>
  <si>
    <t>DigiPlex, Equinix, Bahnhof</t>
  </si>
  <si>
    <t>Power grid constraints in Stockholm</t>
  </si>
  <si>
    <t>Indonesia</t>
  </si>
  <si>
    <t>DCI Indonesia, Telkomsigma, NTT</t>
  </si>
  <si>
    <t>Land and power availability</t>
  </si>
  <si>
    <t>Solar, wind, green building pilots</t>
  </si>
  <si>
    <t>Spain</t>
  </si>
  <si>
    <t>Interxion, Equinix, Nabiax</t>
  </si>
  <si>
    <t>Grid constraints in Madrid</t>
  </si>
  <si>
    <t>Poland</t>
  </si>
  <si>
    <t>Atman, Equinix, Beyond.pl</t>
  </si>
  <si>
    <t>Power grid constraints in Warsaw</t>
  </si>
  <si>
    <t>Wind, solar, green building codes</t>
  </si>
  <si>
    <t>Italy</t>
  </si>
  <si>
    <t>Portugal</t>
  </si>
  <si>
    <t>Hyperscale Data Centers</t>
  </si>
  <si>
    <t>Colocation Data Centers</t>
  </si>
  <si>
    <t>Power Capacity Mw Total</t>
  </si>
  <si>
    <t>Average Renewable Energy Usage Percent</t>
  </si>
  <si>
    <t>Key Operators</t>
  </si>
  <si>
    <t>Growth Rate Of Data Centers Percent Per Year</t>
  </si>
  <si>
    <t>Cooling Technologies Common</t>
  </si>
  <si>
    <t>Regulatory Challenges Or Limits</t>
  </si>
  <si>
    <t>Disaster Recovery Sites Common</t>
  </si>
  <si>
    <t>Green Dc Initiatives Description</t>
  </si>
  <si>
    <t>Source Of Data</t>
  </si>
  <si>
    <t>40</t>
  </si>
  <si>
    <t>27</t>
  </si>
  <si>
    <t>Equinix</t>
  </si>
  <si>
    <t xml:space="preserve"> Digital Realty</t>
  </si>
  <si>
    <t xml:space="preserve"> CoreSite</t>
  </si>
  <si>
    <t xml:space="preserve"> e-shelter</t>
  </si>
  <si>
    <t xml:space="preserve"> Telehouse</t>
  </si>
  <si>
    <t xml:space="preserve"> Virtus</t>
  </si>
  <si>
    <t>China Unicom</t>
  </si>
  <si>
    <t xml:space="preserve"> Tencent</t>
  </si>
  <si>
    <t xml:space="preserve"> Alibaba</t>
  </si>
  <si>
    <t xml:space="preserve"> Interxion</t>
  </si>
  <si>
    <t xml:space="preserve"> Data4</t>
  </si>
  <si>
    <t xml:space="preserve"> Cologix</t>
  </si>
  <si>
    <t xml:space="preserve"> eStruxture</t>
  </si>
  <si>
    <t>NEXTDC</t>
  </si>
  <si>
    <t xml:space="preserve"> Equinix</t>
  </si>
  <si>
    <t xml:space="preserve"> AirTrunk</t>
  </si>
  <si>
    <t xml:space="preserve"> NorthC</t>
  </si>
  <si>
    <t>IXcellerate</t>
  </si>
  <si>
    <t xml:space="preserve"> DataPro</t>
  </si>
  <si>
    <t xml:space="preserve"> Rostelecom</t>
  </si>
  <si>
    <t xml:space="preserve"> NTT</t>
  </si>
  <si>
    <t xml:space="preserve"> KDDI</t>
  </si>
  <si>
    <t>Ascenty</t>
  </si>
  <si>
    <t xml:space="preserve"> ODATA</t>
  </si>
  <si>
    <t xml:space="preserve"> STT GDC</t>
  </si>
  <si>
    <t>Teraco</t>
  </si>
  <si>
    <t xml:space="preserve"> Africa Data Centres</t>
  </si>
  <si>
    <t>STT GDC</t>
  </si>
  <si>
    <t xml:space="preserve"> CtrlS</t>
  </si>
  <si>
    <t>KIO Networks</t>
  </si>
  <si>
    <t xml:space="preserve"> Alestra</t>
  </si>
  <si>
    <t>DigiPlex</t>
  </si>
  <si>
    <t xml:space="preserve"> Bahnhof</t>
  </si>
  <si>
    <t>DCI Indonesia</t>
  </si>
  <si>
    <t xml:space="preserve"> Telkomsigma</t>
  </si>
  <si>
    <t>Interxion</t>
  </si>
  <si>
    <t xml:space="preserve"> Nabiax</t>
  </si>
  <si>
    <t>Atman</t>
  </si>
  <si>
    <t xml:space="preserve"> Beyond.pl</t>
  </si>
  <si>
    <t>Continent</t>
  </si>
  <si>
    <t>Regions</t>
  </si>
  <si>
    <t>Code</t>
  </si>
  <si>
    <t>Zones</t>
  </si>
  <si>
    <t>City</t>
  </si>
  <si>
    <t>State</t>
  </si>
  <si>
    <t>Expected date</t>
  </si>
  <si>
    <t>Latitude</t>
  </si>
  <si>
    <t>Longitude</t>
  </si>
  <si>
    <t>Company</t>
  </si>
  <si>
    <t>Asia</t>
  </si>
  <si>
    <t>South Asia</t>
  </si>
  <si>
    <t>IN-VSKP</t>
  </si>
  <si>
    <t>Visakhapatnam Zone</t>
  </si>
  <si>
    <t>Visakhapatnam</t>
  </si>
  <si>
    <t>Andhra Pradesh</t>
  </si>
  <si>
    <t>Google &amp; Adani ConneX</t>
  </si>
  <si>
    <t>East Asia</t>
  </si>
  <si>
    <t>JP-YOK</t>
  </si>
  <si>
    <t>Yokohama City</t>
  </si>
  <si>
    <t>Yokohama</t>
  </si>
  <si>
    <t>Kanagawa</t>
  </si>
  <si>
    <t>Jera</t>
  </si>
  <si>
    <t>Asia-Pacific</t>
  </si>
  <si>
    <t>Oceania</t>
  </si>
  <si>
    <t>AU-SYD</t>
  </si>
  <si>
    <t>Sydney Metro</t>
  </si>
  <si>
    <t>Sydney</t>
  </si>
  <si>
    <t>New South Wales</t>
  </si>
  <si>
    <t>GreenSquareDC</t>
  </si>
  <si>
    <t>North America</t>
  </si>
  <si>
    <t>Texas</t>
  </si>
  <si>
    <t>US-TX-DFW</t>
  </si>
  <si>
    <t>Bosque County</t>
  </si>
  <si>
    <t>Valley Mills</t>
  </si>
  <si>
    <t>USA</t>
  </si>
  <si>
    <t>CyrusOne &amp; Calpine</t>
  </si>
  <si>
    <t>South USA</t>
  </si>
  <si>
    <t>US-TX-SG</t>
  </si>
  <si>
    <t>Stargate Campus</t>
  </si>
  <si>
    <t>Albuquerque</t>
  </si>
  <si>
    <t>OpenAI &amp; Oracle</t>
  </si>
  <si>
    <t>Louisiana</t>
  </si>
  <si>
    <t>US-LA-MON</t>
  </si>
  <si>
    <t>Monroe</t>
  </si>
  <si>
    <t>Meta</t>
  </si>
  <si>
    <t>Europe</t>
  </si>
  <si>
    <t>Nordic</t>
  </si>
  <si>
    <t>SE-STH</t>
  </si>
  <si>
    <t>Stockholm</t>
  </si>
  <si>
    <t>Stockholm County</t>
  </si>
  <si>
    <t>Brookfield</t>
  </si>
  <si>
    <t>South</t>
  </si>
  <si>
    <t>PT-SIN</t>
  </si>
  <si>
    <t>Sines</t>
  </si>
  <si>
    <t>Setubal</t>
  </si>
  <si>
    <t>Start Campus</t>
  </si>
  <si>
    <t>Southern Europe</t>
  </si>
  <si>
    <t>IT-MIL</t>
  </si>
  <si>
    <t>Milan Metro</t>
  </si>
  <si>
    <t>Milan</t>
  </si>
  <si>
    <t>Lombardy</t>
  </si>
  <si>
    <t>Apto</t>
  </si>
  <si>
    <t>Iberia</t>
  </si>
  <si>
    <t>ES-PAM</t>
  </si>
  <si>
    <t>Pamplona</t>
  </si>
  <si>
    <t>Navarra</t>
  </si>
  <si>
    <t>Campus Data</t>
  </si>
  <si>
    <t>0.45</t>
  </si>
  <si>
    <t>0.25</t>
  </si>
  <si>
    <t>0.78</t>
  </si>
  <si>
    <t>0.3</t>
  </si>
  <si>
    <t>0.9</t>
  </si>
  <si>
    <t>0.15</t>
  </si>
  <si>
    <t>0.95</t>
  </si>
  <si>
    <t>45 (target 2030)</t>
  </si>
  <si>
    <t>0.98</t>
  </si>
  <si>
    <t>0.2</t>
  </si>
  <si>
    <t>0.35</t>
  </si>
  <si>
    <t>Sl No</t>
  </si>
  <si>
    <t>Countries</t>
  </si>
  <si>
    <t>AQI</t>
  </si>
  <si>
    <t>Bangladesh</t>
  </si>
  <si>
    <t>Pakistan</t>
  </si>
  <si>
    <t>Bahrain</t>
  </si>
  <si>
    <t>Nepal</t>
  </si>
  <si>
    <t>Egypt</t>
  </si>
  <si>
    <t>United Arab Emirates</t>
  </si>
  <si>
    <t>Kuwait</t>
  </si>
  <si>
    <t>Tajikistan</t>
  </si>
  <si>
    <t xml:space="preserve"> Kyrgyzstan</t>
  </si>
  <si>
    <t xml:space="preserve"> Rwanda</t>
  </si>
  <si>
    <t xml:space="preserve"> Cameroon</t>
  </si>
  <si>
    <t xml:space="preserve"> China</t>
  </si>
  <si>
    <t xml:space="preserve"> Laos</t>
  </si>
  <si>
    <t xml:space="preserve"> Uzbekistan</t>
  </si>
  <si>
    <t xml:space="preserve"> Congo Kinshasa</t>
  </si>
  <si>
    <t xml:space="preserve"> Nigeria</t>
  </si>
  <si>
    <t xml:space="preserve"> Uganda</t>
  </si>
  <si>
    <t xml:space="preserve"> Mongolia</t>
  </si>
  <si>
    <t xml:space="preserve"> Burma</t>
  </si>
  <si>
    <t xml:space="preserve"> Ethiopia</t>
  </si>
  <si>
    <t xml:space="preserve"> Armenia</t>
  </si>
  <si>
    <t xml:space="preserve"> Iran</t>
  </si>
  <si>
    <t xml:space="preserve"> Iraq</t>
  </si>
  <si>
    <t xml:space="preserve"> Turkmenistan</t>
  </si>
  <si>
    <t xml:space="preserve"> Bosnia and Herzegovina</t>
  </si>
  <si>
    <t xml:space="preserve"> Gabon</t>
  </si>
  <si>
    <t xml:space="preserve"> Kazakhstan</t>
  </si>
  <si>
    <t xml:space="preserve"> Thailand</t>
  </si>
  <si>
    <t xml:space="preserve"> North Korea</t>
  </si>
  <si>
    <t xml:space="preserve"> Sri Lanka</t>
  </si>
  <si>
    <t xml:space="preserve"> Cote Divoire</t>
  </si>
  <si>
    <t xml:space="preserve"> Lebanon</t>
  </si>
  <si>
    <t xml:space="preserve"> Senegal</t>
  </si>
  <si>
    <t xml:space="preserve"> Azerbaijan</t>
  </si>
  <si>
    <t xml:space="preserve"> Benin</t>
  </si>
  <si>
    <t xml:space="preserve"> Ghana</t>
  </si>
  <si>
    <t xml:space="preserve"> Madagascar</t>
  </si>
  <si>
    <t xml:space="preserve"> Macedonia</t>
  </si>
  <si>
    <t xml:space="preserve"> Peru</t>
  </si>
  <si>
    <t xml:space="preserve"> Turkey</t>
  </si>
  <si>
    <t xml:space="preserve"> Vietnam</t>
  </si>
  <si>
    <t xml:space="preserve"> Mexico</t>
  </si>
  <si>
    <t xml:space="preserve"> Montenegro</t>
  </si>
  <si>
    <t xml:space="preserve"> Serbia</t>
  </si>
  <si>
    <t xml:space="preserve"> Guatemala</t>
  </si>
  <si>
    <t xml:space="preserve"> Indonesia</t>
  </si>
  <si>
    <t xml:space="preserve"> Saudi Arabia</t>
  </si>
  <si>
    <t xml:space="preserve"> Gambia</t>
  </si>
  <si>
    <t xml:space="preserve"> Israel</t>
  </si>
  <si>
    <t xml:space="preserve"> South Korea</t>
  </si>
  <si>
    <t xml:space="preserve"> Sudan</t>
  </si>
  <si>
    <t xml:space="preserve"> Colombia</t>
  </si>
  <si>
    <t xml:space="preserve"> Kenya</t>
  </si>
  <si>
    <t xml:space="preserve"> Liberia</t>
  </si>
  <si>
    <t xml:space="preserve"> Algeria</t>
  </si>
  <si>
    <t xml:space="preserve"> Georgia</t>
  </si>
  <si>
    <t xml:space="preserve"> Chile</t>
  </si>
  <si>
    <t xml:space="preserve"> Taiwan</t>
  </si>
  <si>
    <t xml:space="preserve"> Zambia</t>
  </si>
  <si>
    <t xml:space="preserve"> Ecuador</t>
  </si>
  <si>
    <t xml:space="preserve"> Chad</t>
  </si>
  <si>
    <t xml:space="preserve"> El Salvador</t>
  </si>
  <si>
    <t xml:space="preserve"> Cyprus</t>
  </si>
  <si>
    <t xml:space="preserve"> Mali</t>
  </si>
  <si>
    <t xml:space="preserve"> South Africa</t>
  </si>
  <si>
    <t xml:space="preserve"> Venezuela</t>
  </si>
  <si>
    <t xml:space="preserve"> Cambodia</t>
  </si>
  <si>
    <t xml:space="preserve"> Czechia</t>
  </si>
  <si>
    <t xml:space="preserve"> Kosovo</t>
  </si>
  <si>
    <t xml:space="preserve"> Slovakia</t>
  </si>
  <si>
    <t xml:space="preserve"> Slovenia</t>
  </si>
  <si>
    <t xml:space="preserve"> Guinea</t>
  </si>
  <si>
    <t xml:space="preserve"> Malta</t>
  </si>
  <si>
    <t xml:space="preserve"> Singapore</t>
  </si>
  <si>
    <t xml:space="preserve"> Botswana</t>
  </si>
  <si>
    <t xml:space="preserve"> Cabo Verde</t>
  </si>
  <si>
    <t xml:space="preserve"> Poland</t>
  </si>
  <si>
    <t xml:space="preserve"> Brazil</t>
  </si>
  <si>
    <t xml:space="preserve"> Greece</t>
  </si>
  <si>
    <t xml:space="preserve"> Hungary</t>
  </si>
  <si>
    <t xml:space="preserve"> Burkina Faso</t>
  </si>
  <si>
    <t xml:space="preserve"> Romania</t>
  </si>
  <si>
    <t xml:space="preserve"> Trinidad And Tobago</t>
  </si>
  <si>
    <t xml:space="preserve"> Croatia</t>
  </si>
  <si>
    <t xml:space="preserve"> Philippines</t>
  </si>
  <si>
    <t xml:space="preserve"> Angola</t>
  </si>
  <si>
    <t xml:space="preserve"> Ukraine</t>
  </si>
  <si>
    <t xml:space="preserve"> Albania</t>
  </si>
  <si>
    <t xml:space="preserve"> Italy</t>
  </si>
  <si>
    <t xml:space="preserve"> Jordan</t>
  </si>
  <si>
    <t xml:space="preserve"> Namibia</t>
  </si>
  <si>
    <t xml:space="preserve"> San Marino</t>
  </si>
  <si>
    <t xml:space="preserve"> Togo</t>
  </si>
  <si>
    <t>Lithuania</t>
  </si>
  <si>
    <t>Curacao</t>
  </si>
  <si>
    <t>Belarus</t>
  </si>
  <si>
    <t>Costa Rica</t>
  </si>
  <si>
    <t>French Guiana</t>
  </si>
  <si>
    <t>Monaco</t>
  </si>
  <si>
    <t>Bulgaria</t>
  </si>
  <si>
    <t>Argentina</t>
  </si>
  <si>
    <t>Bolivia</t>
  </si>
  <si>
    <t>Luxembourg</t>
  </si>
  <si>
    <t>Belgium</t>
  </si>
  <si>
    <t>Moldova</t>
  </si>
  <si>
    <t>Andorra</t>
  </si>
  <si>
    <t>Gibraltar</t>
  </si>
  <si>
    <t>Austria</t>
  </si>
  <si>
    <t>Guadeloupe</t>
  </si>
  <si>
    <t>Reunion</t>
  </si>
  <si>
    <t>Grenada</t>
  </si>
  <si>
    <t>Ireland</t>
  </si>
  <si>
    <t>Jersey</t>
  </si>
  <si>
    <t>New Zealand</t>
  </si>
  <si>
    <t>Norway</t>
  </si>
  <si>
    <t>Estonia</t>
  </si>
  <si>
    <t>Puerto Rico</t>
  </si>
  <si>
    <t>Denmark</t>
  </si>
  <si>
    <t>Latvia</t>
  </si>
  <si>
    <t>Switzerland</t>
  </si>
  <si>
    <t>Liechtenstein</t>
  </si>
  <si>
    <t>Malaysia</t>
  </si>
  <si>
    <t>New Caledonia</t>
  </si>
  <si>
    <t>Finland</t>
  </si>
  <si>
    <t>Iceland</t>
  </si>
  <si>
    <t>Brunei</t>
  </si>
  <si>
    <t>Greenland</t>
  </si>
  <si>
    <t>Cities</t>
  </si>
  <si>
    <t>New Delhi</t>
  </si>
  <si>
    <t xml:space="preserve"> India</t>
  </si>
  <si>
    <t>Greater Noida</t>
  </si>
  <si>
    <t>Noida</t>
  </si>
  <si>
    <t>Ghaziabad</t>
  </si>
  <si>
    <t>Faridabad</t>
  </si>
  <si>
    <t>Gurgaon</t>
  </si>
  <si>
    <t>Bhiwadi</t>
  </si>
  <si>
    <t>Patna</t>
  </si>
  <si>
    <t>Sonipat</t>
  </si>
  <si>
    <t>Muzaffarnagar</t>
  </si>
  <si>
    <t>Rohtak</t>
  </si>
  <si>
    <t>Bhiwani</t>
  </si>
  <si>
    <t>Dhaka</t>
  </si>
  <si>
    <t xml:space="preserve"> Bangladesh</t>
  </si>
  <si>
    <t>Kairana</t>
  </si>
  <si>
    <t>Saharsa</t>
  </si>
  <si>
    <t>Bulandshahr</t>
  </si>
  <si>
    <t>Hapur</t>
  </si>
  <si>
    <t>Peshawar</t>
  </si>
  <si>
    <t xml:space="preserve"> Pakistan</t>
  </si>
  <si>
    <t>Bankura</t>
  </si>
  <si>
    <t>Lucknow</t>
  </si>
  <si>
    <t>Meerut</t>
  </si>
  <si>
    <t>Panipat</t>
  </si>
  <si>
    <t>Durgapur</t>
  </si>
  <si>
    <t>Asansol</t>
  </si>
  <si>
    <t>Jamuria</t>
  </si>
  <si>
    <t>Kulti</t>
  </si>
  <si>
    <t>Muzaffarpur</t>
  </si>
  <si>
    <t>Saharanpur</t>
  </si>
  <si>
    <t>Begusarai</t>
  </si>
  <si>
    <t>Bhagalpur</t>
  </si>
  <si>
    <t>Hisar</t>
  </si>
  <si>
    <t>Khurja</t>
  </si>
  <si>
    <t>Baharampur</t>
  </si>
  <si>
    <t>Karnal</t>
  </si>
  <si>
    <t>Amritsar</t>
  </si>
  <si>
    <t>Tachov</t>
  </si>
  <si>
    <t>Agartala</t>
  </si>
  <si>
    <t>Kashgar</t>
  </si>
  <si>
    <t>Lahore</t>
  </si>
  <si>
    <t>Ludhiana</t>
  </si>
  <si>
    <t>Barddhaman</t>
  </si>
  <si>
    <t>Howrah</t>
  </si>
  <si>
    <t>Mauli</t>
  </si>
  <si>
    <t>Patiala</t>
  </si>
  <si>
    <t>Chandigarh</t>
  </si>
  <si>
    <t>Gorakhpur</t>
  </si>
  <si>
    <t>Bali</t>
  </si>
  <si>
    <t>Faizabad</t>
  </si>
  <si>
    <t>Kamarhati</t>
  </si>
  <si>
    <t>Khardah</t>
  </si>
  <si>
    <t>Panihati</t>
  </si>
  <si>
    <t>Rampur</t>
  </si>
  <si>
    <t>Rishra</t>
  </si>
  <si>
    <t>Shrirampur</t>
  </si>
  <si>
    <t>Titagarh</t>
  </si>
  <si>
    <t>Uluberiya</t>
  </si>
  <si>
    <t>Bhadreswar</t>
  </si>
  <si>
    <t>Chandannagar</t>
  </si>
  <si>
    <t>Jalandhar</t>
  </si>
  <si>
    <t>Sitapur</t>
  </si>
  <si>
    <t>Bhatpara</t>
  </si>
  <si>
    <t>Champdani</t>
  </si>
  <si>
    <t>Habra</t>
  </si>
  <si>
    <t>Halisahar</t>
  </si>
  <si>
    <t>Hugli</t>
  </si>
  <si>
    <t>Kalyani</t>
  </si>
  <si>
    <t>Kanchrapara</t>
  </si>
  <si>
    <t>Kharagpur</t>
  </si>
  <si>
    <t>Kothapet</t>
  </si>
  <si>
    <t>Madhyamgram</t>
  </si>
  <si>
    <t>Mahadipur</t>
  </si>
  <si>
    <t>Nabadwip</t>
  </si>
  <si>
    <t>Naihati</t>
  </si>
  <si>
    <t>Shantipur</t>
  </si>
  <si>
    <t>Bansberia</t>
  </si>
  <si>
    <t>Dholka</t>
  </si>
  <si>
    <t>Jaipur</t>
  </si>
  <si>
    <t>Jaynagar Majilpur</t>
  </si>
  <si>
    <t>Kota</t>
  </si>
  <si>
    <t>Krishnanagar</t>
  </si>
  <si>
    <t>Medinipur</t>
  </si>
  <si>
    <t>Sirsa</t>
  </si>
  <si>
    <t>Ahmedabad</t>
  </si>
  <si>
    <t>Churu</t>
  </si>
  <si>
    <t>Khambhat</t>
  </si>
  <si>
    <t>Rajgir</t>
  </si>
  <si>
    <t>Ambala</t>
  </si>
  <si>
    <t>Bangaon</t>
  </si>
  <si>
    <t>English Bazar</t>
  </si>
  <si>
    <t>Fatehpur</t>
  </si>
  <si>
    <t>Godhra</t>
  </si>
  <si>
    <t>Kanpur</t>
  </si>
  <si>
    <t>Kolkata</t>
  </si>
  <si>
    <t>Pali</t>
  </si>
  <si>
    <t>Purnea</t>
  </si>
  <si>
    <t>Tonk</t>
  </si>
  <si>
    <t>Alwar</t>
  </si>
  <si>
    <t>Gaya</t>
  </si>
  <si>
    <t>Aksu</t>
  </si>
  <si>
    <t>Basirhat</t>
  </si>
  <si>
    <t xml:space="preserve"> Belampalli</t>
  </si>
  <si>
    <t xml:space="preserve"> Bikaner</t>
  </si>
  <si>
    <t xml:space="preserve"> Dum Dum</t>
  </si>
  <si>
    <t xml:space="preserve"> Jodhpur</t>
  </si>
  <si>
    <t xml:space="preserve"> Luoyang</t>
  </si>
  <si>
    <t xml:space="preserve"> Rajmahal</t>
  </si>
  <si>
    <t xml:space="preserve"> Vadodara</t>
  </si>
  <si>
    <t xml:space="preserve"> Abohar</t>
  </si>
  <si>
    <t xml:space="preserve"> Bishkek</t>
  </si>
  <si>
    <t xml:space="preserve"> Chinchwad</t>
  </si>
  <si>
    <t xml:space="preserve"> Dengtalu</t>
  </si>
  <si>
    <t xml:space="preserve"> Haldia</t>
  </si>
  <si>
    <t xml:space="preserve"> Hebi</t>
  </si>
  <si>
    <t xml:space="preserve"> Ramgundam</t>
  </si>
  <si>
    <t xml:space="preserve"> Xinxiang</t>
  </si>
  <si>
    <t xml:space="preserve"> Fyzabad</t>
  </si>
  <si>
    <t xml:space="preserve"> Islamabad</t>
  </si>
  <si>
    <t xml:space="preserve"> Khem Karan</t>
  </si>
  <si>
    <t>Malaut</t>
  </si>
  <si>
    <t>Mancheral</t>
  </si>
  <si>
    <t>Mandamari</t>
  </si>
  <si>
    <t xml:space="preserve"> Nandod</t>
  </si>
  <si>
    <t xml:space="preserve"> Sambhal</t>
  </si>
  <si>
    <t xml:space="preserve"> Sikar</t>
  </si>
  <si>
    <t xml:space="preserve"> Jaisalmer</t>
  </si>
  <si>
    <t xml:space="preserve"> Khed</t>
  </si>
  <si>
    <t xml:space="preserve"> Luohe</t>
  </si>
  <si>
    <t>Moradabad</t>
  </si>
  <si>
    <t xml:space="preserve"> Pingdingshan</t>
  </si>
  <si>
    <t xml:space="preserve"> Barasat</t>
  </si>
  <si>
    <t xml:space="preserve"> Bhavnagar</t>
  </si>
  <si>
    <t xml:space="preserve"> Birganj</t>
  </si>
  <si>
    <t xml:space="preserve"> Nepal</t>
  </si>
  <si>
    <t xml:space="preserve"> Jiangjiafan</t>
  </si>
  <si>
    <t xml:space="preserve"> Jiaozuo</t>
  </si>
  <si>
    <t xml:space="preserve"> Sihor</t>
  </si>
  <si>
    <t xml:space="preserve"> Surat</t>
  </si>
  <si>
    <t xml:space="preserve"> Adilabad</t>
  </si>
  <si>
    <t xml:space="preserve"> Bhilwara</t>
  </si>
  <si>
    <t xml:space="preserve"> Cuttack</t>
  </si>
  <si>
    <t xml:space="preserve"> Diu</t>
  </si>
  <si>
    <t xml:space="preserve"> Gwalior</t>
  </si>
  <si>
    <t xml:space="preserve"> Navsari</t>
  </si>
  <si>
    <t xml:space="preserve"> Panauti</t>
  </si>
  <si>
    <t xml:space="preserve"> Shuangqiao</t>
  </si>
  <si>
    <t xml:space="preserve"> Xiangyang</t>
  </si>
  <si>
    <t>PSG Value  2023</t>
  </si>
  <si>
    <t>PoliticalStability PercentileRank 2023</t>
  </si>
  <si>
    <t>Political Stability Percentile Rank 2023</t>
  </si>
  <si>
    <t>PSG Value = Political Stablity Goverance Value</t>
  </si>
  <si>
    <t>Cayman Islands</t>
  </si>
  <si>
    <t>Aruba</t>
  </si>
  <si>
    <t>Dominica</t>
  </si>
  <si>
    <t>Cook Islands</t>
  </si>
  <si>
    <t>Barbados</t>
  </si>
  <si>
    <t>Tuvalu</t>
  </si>
  <si>
    <t>Marshall Islands</t>
  </si>
  <si>
    <t>San Marino</t>
  </si>
  <si>
    <t>American Samoa</t>
  </si>
  <si>
    <t>Anguilla</t>
  </si>
  <si>
    <t>Samoa</t>
  </si>
  <si>
    <t>Kiribati</t>
  </si>
  <si>
    <t>Tonga</t>
  </si>
  <si>
    <t>Micronesia</t>
  </si>
  <si>
    <t>Palau</t>
  </si>
  <si>
    <t>Macau</t>
  </si>
  <si>
    <t>Botswana</t>
  </si>
  <si>
    <t>Saint Vincent and the Grenadines</t>
  </si>
  <si>
    <t>Bermuda</t>
  </si>
  <si>
    <t>Bahamas</t>
  </si>
  <si>
    <t>Qatar</t>
  </si>
  <si>
    <t>Bhutan</t>
  </si>
  <si>
    <t>Nauru</t>
  </si>
  <si>
    <t>Czechia</t>
  </si>
  <si>
    <t>Uruguay</t>
  </si>
  <si>
    <t>Vanuatu</t>
  </si>
  <si>
    <t>Antigua and Barbuda</t>
  </si>
  <si>
    <t>Saint Kitts and Nevis</t>
  </si>
  <si>
    <t>Cape Verde</t>
  </si>
  <si>
    <t>Guam</t>
  </si>
  <si>
    <t>Saint Lucia</t>
  </si>
  <si>
    <t>Malta</t>
  </si>
  <si>
    <t>Slovenia</t>
  </si>
  <si>
    <t>Laos</t>
  </si>
  <si>
    <t>Mauritius</t>
  </si>
  <si>
    <t>Taiwan</t>
  </si>
  <si>
    <t>Seychelles</t>
  </si>
  <si>
    <t>Fiji</t>
  </si>
  <si>
    <t>Hungary</t>
  </si>
  <si>
    <t>Hong Kong</t>
  </si>
  <si>
    <t>South Korea</t>
  </si>
  <si>
    <t>Croatia</t>
  </si>
  <si>
    <t>Oman</t>
  </si>
  <si>
    <t>Mongolia</t>
  </si>
  <si>
    <t>Belize</t>
  </si>
  <si>
    <t>Slovakia</t>
  </si>
  <si>
    <t>Namibia</t>
  </si>
  <si>
    <t>Maldives</t>
  </si>
  <si>
    <t>United States Virgin Islands</t>
  </si>
  <si>
    <t>Martinique</t>
  </si>
  <si>
    <t>Solomon Islands</t>
  </si>
  <si>
    <t>Sao Tome and Principe</t>
  </si>
  <si>
    <t>Cyprus</t>
  </si>
  <si>
    <t>Suriname</t>
  </si>
  <si>
    <t>Trinidad and Tobago</t>
  </si>
  <si>
    <t>Cuba</t>
  </si>
  <si>
    <t>Jamaica</t>
  </si>
  <si>
    <t>Romania</t>
  </si>
  <si>
    <t>Timor-Leste</t>
  </si>
  <si>
    <t>Dominican Republic</t>
  </si>
  <si>
    <t>Greece</t>
  </si>
  <si>
    <t>Panama</t>
  </si>
  <si>
    <t>Zambia</t>
  </si>
  <si>
    <t>Albania</t>
  </si>
  <si>
    <t>North Macedonia</t>
  </si>
  <si>
    <t>Chile</t>
  </si>
  <si>
    <t>Rwanda</t>
  </si>
  <si>
    <t>Paraguay</t>
  </si>
  <si>
    <t>Montenegro</t>
  </si>
  <si>
    <t>Cambodia</t>
  </si>
  <si>
    <t>Republic of the Congo</t>
  </si>
  <si>
    <t>Gambia</t>
  </si>
  <si>
    <t>Ghana</t>
  </si>
  <si>
    <t>Vietnam</t>
  </si>
  <si>
    <t>Serbia</t>
  </si>
  <si>
    <t>Tanzania</t>
  </si>
  <si>
    <t>Guyana</t>
  </si>
  <si>
    <t>Turkmenistan</t>
  </si>
  <si>
    <t>Liberia</t>
  </si>
  <si>
    <t>Nicaragua</t>
  </si>
  <si>
    <t>Senegal</t>
  </si>
  <si>
    <t>Uzbekistan</t>
  </si>
  <si>
    <t>Jordan</t>
  </si>
  <si>
    <t>Saudi Arabia</t>
  </si>
  <si>
    <t>Comoros</t>
  </si>
  <si>
    <t>Malawi</t>
  </si>
  <si>
    <t>Guatemala</t>
  </si>
  <si>
    <t>Sierra Leone</t>
  </si>
  <si>
    <t>Equatorial Guinea</t>
  </si>
  <si>
    <t>Kazakhstan</t>
  </si>
  <si>
    <t>Thailand</t>
  </si>
  <si>
    <t>Lesotho</t>
  </si>
  <si>
    <t>Guinea-Bissau</t>
  </si>
  <si>
    <t>Angola</t>
  </si>
  <si>
    <t>Ecuador</t>
  </si>
  <si>
    <t>Georgia</t>
  </si>
  <si>
    <t>Gabon</t>
  </si>
  <si>
    <t>Benin</t>
  </si>
  <si>
    <t>Bosnia and Herzegovina</t>
  </si>
  <si>
    <t>Eswatini</t>
  </si>
  <si>
    <t>Morocco</t>
  </si>
  <si>
    <t>North Korea</t>
  </si>
  <si>
    <t>Honduras</t>
  </si>
  <si>
    <t>Papua New Guinea</t>
  </si>
  <si>
    <t>Kyrgyzstan</t>
  </si>
  <si>
    <t>Mauritania</t>
  </si>
  <si>
    <t>Sri Lanka</t>
  </si>
  <si>
    <t>Peru</t>
  </si>
  <si>
    <t>Djibouti</t>
  </si>
  <si>
    <t>Philippines</t>
  </si>
  <si>
    <t>Algeria</t>
  </si>
  <si>
    <t>Ivory Coast</t>
  </si>
  <si>
    <t>Tunisia</t>
  </si>
  <si>
    <t>Madagascar</t>
  </si>
  <si>
    <t>Uganda</t>
  </si>
  <si>
    <t>Colombia</t>
  </si>
  <si>
    <t>Azerbaijan</t>
  </si>
  <si>
    <t>Eritrea</t>
  </si>
  <si>
    <t>Armenia</t>
  </si>
  <si>
    <t>Guinea</t>
  </si>
  <si>
    <t>Zimbabwe</t>
  </si>
  <si>
    <t>Kenya</t>
  </si>
  <si>
    <t>Togo</t>
  </si>
  <si>
    <t>Turkey</t>
  </si>
  <si>
    <t>Burundi</t>
  </si>
  <si>
    <t>Venezuela</t>
  </si>
  <si>
    <t>Mozambique</t>
  </si>
  <si>
    <t>Cameroon</t>
  </si>
  <si>
    <t>Ukraine</t>
  </si>
  <si>
    <t>Haiti</t>
  </si>
  <si>
    <t>Israel</t>
  </si>
  <si>
    <t>Lebanon</t>
  </si>
  <si>
    <t>Chad</t>
  </si>
  <si>
    <t>Niger</t>
  </si>
  <si>
    <t>Iran</t>
  </si>
  <si>
    <t>Nigeria</t>
  </si>
  <si>
    <t>Palestine</t>
  </si>
  <si>
    <t>Ethiopia</t>
  </si>
  <si>
    <t>DR Congo</t>
  </si>
  <si>
    <t>Burkina Faso</t>
  </si>
  <si>
    <t>Myanmar</t>
  </si>
  <si>
    <t>Libya</t>
  </si>
  <si>
    <t>South Sudan</t>
  </si>
  <si>
    <t>Central African Republic</t>
  </si>
  <si>
    <t>Somalia</t>
  </si>
  <si>
    <t>Iraq</t>
  </si>
  <si>
    <t>Sudan</t>
  </si>
  <si>
    <t>Afghanistan</t>
  </si>
  <si>
    <t>Yemen</t>
  </si>
  <si>
    <t>Mali</t>
  </si>
  <si>
    <t>Syria</t>
  </si>
  <si>
    <t>El Salvador</t>
  </si>
  <si>
    <t>300+</t>
  </si>
  <si>
    <t>2,000+</t>
  </si>
  <si>
    <t>12,000+</t>
  </si>
  <si>
    <t>~27%</t>
  </si>
  <si>
    <t>200</t>
  </si>
  <si>
    <t>40%+</t>
  </si>
  <si>
    <t>150</t>
  </si>
  <si>
    <t>1,000+</t>
  </si>
  <si>
    <t>8,000+</t>
  </si>
  <si>
    <t>110</t>
  </si>
  <si>
    <t>700</t>
  </si>
  <si>
    <t>100</t>
  </si>
  <si>
    <t>500</t>
  </si>
  <si>
    <t>80</t>
  </si>
  <si>
    <t>1,200</t>
  </si>
  <si>
    <t>90</t>
  </si>
  <si>
    <t>60</t>
  </si>
  <si>
    <t>400</t>
  </si>
  <si>
    <t>1,000</t>
  </si>
  <si>
    <t>800</t>
  </si>
  <si>
    <t>30</t>
  </si>
  <si>
    <t>50</t>
  </si>
  <si>
    <t>32</t>
  </si>
  <si>
    <t>300</t>
  </si>
  <si>
    <t>45% (target 2030)</t>
  </si>
  <si>
    <t>250</t>
  </si>
  <si>
    <t>120</t>
  </si>
  <si>
    <t>Green Datacenter, Equinix, Interxion</t>
  </si>
  <si>
    <t>Power grid constraints in Zurich</t>
  </si>
  <si>
    <t>2</t>
  </si>
  <si>
    <t>1270</t>
  </si>
  <si>
    <t>Afghanistan National Data Center; Alef Tech; Asia Consultancy Group; Pamir Alpha</t>
  </si>
  <si>
    <t>Unknown</t>
  </si>
  <si>
    <t>Limited infrastructure investment; regulatory instability under Taliban</t>
  </si>
  <si>
    <t>National push for solar/hydro but no direct green DC programs</t>
  </si>
  <si>
    <t>DataReportal; DatacenterMap; Internet Society; World Bank</t>
  </si>
  <si>
    <t xml:space="preserve">Albania </t>
  </si>
  <si>
    <t>3</t>
  </si>
  <si>
    <t>2730</t>
  </si>
  <si>
    <t>Albanian Telecommunications Union; Tirana DataCom; Pronet</t>
  </si>
  <si>
    <t>Hydro-dependency; land regulation issues for renewables</t>
  </si>
  <si>
    <t>140â€¯MW Karavasta solar; large hydro; wind projects planned</t>
  </si>
  <si>
    <t>DataReportal; Internet Society; Lowâ€‘Carbon Power; DatacenterMap; Statista; Globalâ€‘Climatescope</t>
  </si>
  <si>
    <t>5</t>
  </si>
  <si>
    <t>Algeria Telecom; ICOSNET; Government Data Centers</t>
  </si>
  <si>
    <t>~8 (est.)</t>
  </si>
  <si>
    <t>Bureaucratic processes; limited cloud adoption</t>
  </si>
  <si>
    <t>Some basic cold site redundancy (gov)</t>
  </si>
  <si>
    <t>Investments in AI</t>
  </si>
  <si>
    <t>1</t>
  </si>
  <si>
    <t>20</t>
  </si>
  <si>
    <t>Data Center @ Laâ€¯Massana (Andorra Telecom)</t>
  </si>
  <si>
    <t>Monopoly telco oversight; secure fiber deployment</t>
  </si>
  <si>
    <t>InRow cooling, UPS, HFC227 fire suppression</t>
  </si>
  <si>
    <t>4</t>
  </si>
  <si>
    <t>Raxio Angola; Paratus Africa; MSTelcom; Angola Cables</t>
  </si>
  <si>
    <t>~15%</t>
  </si>
  <si>
    <t>Bureaucratic permits; energy reliability challenges</t>
  </si>
  <si>
    <t>Some colocation and carrier-neutral redundancy</t>
  </si>
  <si>
    <t>Groundbreaking AI/data centers; Tier III design solar integration</t>
  </si>
  <si>
    <t>DataCenterMap; DataCenterDynamics; Angola Cables; Telecomm Angola</t>
  </si>
  <si>
    <t>10</t>
  </si>
  <si>
    <t>Government (Parliament basement)</t>
  </si>
  <si>
    <t>Government oversight; underway upgrade to EN 50600 Tierâ€¯4</t>
  </si>
  <si>
    <t>Replace basement facility with new secure building</t>
  </si>
  <si>
    <t>New modular Tierâ€¯4 build planned for 2025</t>
  </si>
  <si>
    <t>Data News Room; Antigua Observer</t>
  </si>
  <si>
    <t>34</t>
  </si>
  <si>
    <t>Arsat, EdgeConneX, Telecom Argentina, G2K, Claro, Cirion, Raxio?</t>
  </si>
  <si>
    <t>Bureaucratic permitting; energy cost variability</t>
  </si>
  <si>
    <t>Standard colocation redundancy</t>
  </si>
  <si>
    <t>New builds with modular, sustainable features</t>
  </si>
  <si>
    <t>DataCenterJournal; DatacenterDynamics; Arizton; Wikipedia; Telecom Argentina slides</t>
  </si>
  <si>
    <t>6</t>
  </si>
  <si>
    <t>AIC (Arminco); ADC (Armenian Datacom); GNCâ€‘Alfa/Ovio; VSData Aragatsotn (coming 2025); Rostelecomâ€‘backed AI &amp; AIâ€‘DC Firebird plans</t>
  </si>
  <si>
    <t>Government oversight; energy/permits constraints</t>
  </si>
  <si>
    <t>Some redundancy &amp; carrier-neutral colocation</t>
  </si>
  <si>
    <t>MSâ€‘watery spring cooled (VSData); AIâ€‘DC planned 100â€¯MW Firebird; Ovio Tierâ€¯III</t>
  </si>
  <si>
    <t>DataCenterJournal; DCDyn; ARKA; Wikipedia; VSData; DCDyn</t>
  </si>
  <si>
    <t>68</t>
  </si>
  <si>
    <t>450</t>
  </si>
  <si>
    <t>NTT Global, Digital Realty, A1 (Exoscale), Interxion, Raiffeisen, Nessus, IBM, Tele2, Atos BRZ</t>
  </si>
  <si>
    <t>Strict regulations; high energy/permits cost</t>
  </si>
  <si>
    <t>Standard redundancy (N+1 etc.)</t>
  </si>
  <si>
    <t>New campus builds with ISOâ€¯50001, solar roofing, bee habitats</t>
  </si>
  <si>
    <t>DataCenterJournal; DCDyn; Cloudscene; NTT Vienna; A1 Digital; DatacenterCatalog; Wikipedia</t>
  </si>
  <si>
    <t>PASHA; AzInTelecom (Baku, Yevlakh); AzerTelecom</t>
  </si>
  <si>
    <t>~7% growth</t>
  </si>
  <si>
    <t>Government-led expansion; energy access OK; regulatory support</t>
  </si>
  <si>
    <t>Carrier-neutral redundancy at Tierâ€¯III facilities</t>
  </si>
  <si>
    <t>Freeâ€‘Cooling at PASHA; solar support; EIBâ€‘backed green design</t>
  </si>
  <si>
    <t>DataCenterMap; DataCenterDynamics; Wikipedia; PasHA specs</t>
  </si>
  <si>
    <t>Secure Shore; Cable Bahamas (Nassau &amp; Freeport); Secure Hosting Freeport</t>
  </si>
  <si>
    <t>High electricity cost &amp; hurricane preparedness challenges</t>
  </si>
  <si>
    <t>Disaster-recovery focus (carrier diversity)</t>
  </si>
  <si>
    <t>Tierâ€¯3 with CRAC/CRAH &amp; redundant UPS/gens; solar backup mentioned</t>
  </si>
  <si>
    <t>Data sheet from Secure Shore; Cable Bahamas blog; DataCenterMap; Tribune 2017</t>
  </si>
  <si>
    <t>Telecom &amp; Qareeb, Batelco, Gateway Gulf, STC, Zain</t>
  </si>
  <si>
    <t>~10.7% CAGR</t>
  </si>
  <si>
    <t>Strict regulations; energy cost; cable resilience in hurricane season</t>
  </si>
  <si>
    <t>Carrier-neutral redundancy; DR focus</t>
  </si>
  <si>
    <t>Tierâ€¯III, free-cooling, 3â€¯MW solar supplement; new facility to be 100% solar-powered</t>
  </si>
  <si>
    <t>DataCenterDynamics; Khazna; Arizton; DCDyn; Wikipedia</t>
  </si>
  <si>
    <t>16</t>
  </si>
  <si>
    <t>180</t>
  </si>
  <si>
    <t>BCC/BDCCL, Plexus Cloud, DataVolt (planned), Aamra, ANOS, Zipnet, Kloud, DataHub Asia</t>
  </si>
  <si>
    <t>~30% CAGR</t>
  </si>
  <si>
    <t>Energy grid strain; high cooling costs in hot, humid climate</t>
  </si>
  <si>
    <t>Standard redundancy; DR emphasized</t>
  </si>
  <si>
    <t>BCC Tier IV 200kâ€¯sqâ€¯ft; Plexus 4k; Dhaka ~96k; DataHub 4k, plus small DR sites</t>
  </si>
  <si>
    <t>Data Portal; BDCCL; DataCenterJournal; Upturn Bangladesh</t>
  </si>
  <si>
    <t>High electricity cost &amp; hurricane resilience focus</t>
  </si>
  <si>
    <t>Disaster-recovery emphasis (carrier diversity)</t>
  </si>
  <si>
    <t>Tierâ€¯3 with CRAC/CRAH, redundant UPS &amp; gens; solar backup mentioned</t>
  </si>
  <si>
    <t>Data from Secure Shore; Cable Bahamas blog; DataCenterMap; Tribune 2017</t>
  </si>
  <si>
    <t>A1 Telekom, BeCloud, Velcom (America Movil), MTS, Datahata, Beltelecom</t>
  </si>
  <si>
    <t>~8% growth</t>
  </si>
  <si>
    <t>Government oversight; IT Park regulation; energy access OK</t>
  </si>
  <si>
    <t>Redundant Tierâ€¯III design; carrier-neutral colocation</t>
  </si>
  <si>
    <t>Tierâ€¯III facilities with N+1 cooling; 8â€¯MW at A1, 7.2â€¯MW at beCloud; MTS 954â€¯kW</t>
  </si>
  <si>
    <t>DataCenterMap; Baxtel; DatacenterDynamics; Belarus.by</t>
  </si>
  <si>
    <t>Google, Digital Realty/Interxion, EdgeConneX, LCL, Colt, NTT</t>
  </si>
  <si>
    <t>~4% CAGR</t>
  </si>
  <si>
    <t>Strict EU regulations; high energy costs &amp; cooling needs</t>
  </si>
  <si>
    <t>Carrier-neutral redundancy; N+1 &amp; 2N cooling</t>
  </si>
  <si>
    <t>New builds include ISOâ€¯50001, solar-power &amp; green campuses</t>
  </si>
  <si>
    <t>Data from Baxtel (1.25Mâ€¯sqâ€¯ft, 200â€¯MW), DatacenterJournal, DCDyn, cloudscene.com</t>
  </si>
  <si>
    <t>15</t>
  </si>
  <si>
    <t>CIT Office (Govt); Belize National Call Center (private)</t>
  </si>
  <si>
    <t>Government telecom partnership; small market</t>
  </si>
  <si>
    <t>Redundant UPS/generator at BNCC; carrier-neutral links</t>
  </si>
  <si>
    <t>Small modular/government server rooms; prefabricated DC planning</t>
  </si>
  <si>
    <t>Data from TradeGov; DC Deployed; Wikipedia; Reddit insight</t>
  </si>
  <si>
    <t>8</t>
  </si>
  <si>
    <t>Alink Telecom; MTN; Isocel Telecom; local modular providers</t>
  </si>
  <si>
    <t>Infrastructure grants for IXP; modular build focus</t>
  </si>
  <si>
    <t>Carrier-neutral links at telco sites</t>
  </si>
  <si>
    <t>Modular prefab DCs via DC Deployed; basic redundancy</t>
  </si>
  <si>
    <t>DataCenterPlatform; African IXP Association; Internet Society</t>
  </si>
  <si>
    <t>Bhutan Innovation Tech Centre GDC; Bhutan DCS (Thimphu TechPark); Bitdeer cryptoâ€‘mine Gedu</t>
  </si>
  <si>
    <t>Seismic risk; reliance on hydropower; limited fiber (upgrades planned)</t>
  </si>
  <si>
    <t>Government colocation &amp; cryptoâ€‘DR focus</t>
  </si>
  <si>
    <t>232â€¯mÂ² govâ€™t DC; DCS unspecified but seismicâ€‘hardened; Bitdeer 100â€¯MW facility under test</t>
  </si>
  <si>
    <t>DataCenterDynamics; The Bhutanese; DataReportal; Internet Society</t>
  </si>
  <si>
    <t>Entel Bolivia (Elâ€¯Alto), Tigo Business (Santaâ€¯Cruz), Confiared DC3 (Santaâ€¯Cruz)</t>
  </si>
  <si>
    <t>~10% growth</t>
  </si>
  <si>
    <t>Fiber expansion nation-wide; high altitude build challenges</t>
  </si>
  <si>
    <t>Carrier-neutral colocation; DR focus</t>
  </si>
  <si>
    <t>Tierâ€¯III El Alto &amp; Santaâ€¯Cruz; 4,500â€¯mÂ² Entel; 1,600â€¯mÂ² Confiared Tierâ€¯IV; 17,200â€¯sqâ€¯ft Tigo</t>
  </si>
  <si>
    <t>DCDyn; Capacity; DataCenterMap; Entel release; Tigo DCDyn; Confiared specs</t>
  </si>
  <si>
    <t>University of Sarajevo UCENT and Logosoft Data Center</t>
  </si>
  <si>
    <t>Government/institutional ownership; limited market entry</t>
  </si>
  <si>
    <t>Redundant colocation at Logosoft; basic UPS cooling</t>
  </si>
  <si>
    <t>UTIC academic DC 11,711â€¯sqâ€¯ft; Logosoft area not disclosed</t>
  </si>
  <si>
    <t>DataCenterJournal; DataCenterMap</t>
  </si>
  <si>
    <t>BTC Business; BoFiNet Digital Delta; Orange Business; MTN Gaborone?; Centerserv?</t>
  </si>
  <si>
    <t>Power reliability &amp; fiber theft issues</t>
  </si>
  <si>
    <t>Carrier-neutral redundancy; disaster recovery focus</t>
  </si>
  <si>
    <t>N+1 in-row cooling at BTC; 10,763â€¯sqâ€¯ft TierÂ III Digital Delta; Orange ~1,000â€“1,500â€¯mÂ²</t>
  </si>
  <si>
    <t>DataCenterDynamics; BTC; DigitalDelta; Datacentermap; Botswana Unplugged</t>
  </si>
  <si>
    <t>Unified National Networks (UNN)</t>
  </si>
  <si>
    <t>~15% growth</t>
  </si>
  <si>
    <t>Government control; bureaucratic approvals</t>
  </si>
  <si>
    <t>Carrier-neutral redundancy; geoâ€‘redundant design</t>
  </si>
  <si>
    <t>Prefab 51,000â€¯sqâ€¯ft Tierâ€¯III/IV modular UNN DC (200 racks, ecoâ€‘efficient); Tech Greencloud small colocation</t>
  </si>
  <si>
    <t>DataCenterDynamics; W.Media; NetworkWorld; Reddit</t>
  </si>
  <si>
    <t>Equinix, Telepoint, Neterra, Daticum, Evolink, S3 Company, ITD Network</t>
  </si>
  <si>
    <t>Strict EU regulations; high energy costs &amp; free-cooling adoption</t>
  </si>
  <si>
    <t>New builds include ISOâ€¯50001, solar PV Dallas campus</t>
  </si>
  <si>
    <t>DataCenterJournal; Baxtel; DatacenterDynamics; Cloudscene</t>
  </si>
  <si>
    <t>Virtix (Ouaga), BFIX Immeuble du Faso, BFIX Ministere de lâ€™agriculture</t>
  </si>
  <si>
    <t>Grid/back-up power challenges; telecom tower security</t>
  </si>
  <si>
    <t>Carrier-neutral connectivity; N+1 redundancy</t>
  </si>
  <si>
    <t>Wasteâ€‘toâ€‘energy 12â€¯MW DC planned Novâ€¯2025; Virtix 1200â€¯mÂ²; BFIX footprints 26,199â€¯sqâ€¯ft</t>
  </si>
  <si>
    <t>DataCenterjournal; Datacentermap; DCDyn; Wikipedia solar data</t>
  </si>
  <si>
    <t>Lacell SU (Smart Burundi); Burundi Backbone System SM</t>
  </si>
  <si>
    <t>Very limited electrification (~10%); grid fragility</t>
  </si>
  <si>
    <t>In-house redundant UPS/gens; no carrier-neutral</t>
  </si>
  <si>
    <t>6,308â€¯sqâ€¯ft building footprint (Smart Burundi); BBS site area not disclosed</t>
  </si>
  <si>
    <t>DataCenterJournal; Wikipedia; Statista</t>
  </si>
  <si>
    <t>Chaktomuk Data Center; ByteDC; Kepstar; Sinet; Daun Penh</t>
  </si>
  <si>
    <t>~12% growth</t>
  </si>
  <si>
    <t>Government internet gateway control; energy for cooling</t>
  </si>
  <si>
    <t>Carrier-neutral redundancies; DR-focused</t>
  </si>
  <si>
    <t>Tier III whitespace: Chaktomuk 123,784â€¯sqâ€¯ft; ByteDC 81,040â€¯sqâ€¯ft; Daun Penh 1,076â€¯sqâ€¯ft; Kepstar projects planned 160,000â€¯sqâ€¯ft+</t>
  </si>
  <si>
    <t>DataCenterDynamics; DatacenterMap; Baxtel; Khmer Times; Wikipedia</t>
  </si>
  <si>
    <t>Orange Cameroon (Douala); Camtel Zamengoe (YaoundÃ©)</t>
  </si>
  <si>
    <t>Power stability &amp; grid resilience; high-altitude construction</t>
  </si>
  <si>
    <t>Carrier-neutral redundancy; DR-focused</t>
  </si>
  <si>
    <t>Tierâ€¯III whitespace: Orange Douala server 10,800â€¯sqâ€¯ft; Camtel Zamengoe 8,611â€¯sqâ€¯ft (800â€¯mÂ²)</t>
  </si>
  <si>
    <t>DataCenterDynamics; ITWeb Africa; DatacenterMap; Wikipedia</t>
  </si>
  <si>
    <t>NOSi national DC at Tech Park</t>
  </si>
  <si>
    <t>Poor upstream diversity; small market</t>
  </si>
  <si>
    <t>Government &amp; public-private park focus; DR on SÃ£oâ€¯Vicente</t>
  </si>
  <si>
    <t>Tierâ€¯II modular gov DC; two new renewable-powered campuses planned</t>
  </si>
  <si>
    <t>Data from Internet Society Pulse; DCDyn; DatacenterMap; NOSi; Wikipedia</t>
  </si>
  <si>
    <t>0</t>
  </si>
  <si>
    <t>Government/UN digital health servers only</t>
  </si>
  <si>
    <t>Frequent power outages; no commercial DC market</t>
  </si>
  <si>
    <t>UN/emergency rack sites only</t>
  </si>
  <si>
    <t>Infrastructure upgrades planned via CAF backbone; no formal DC</t>
  </si>
  <si>
    <t>builds</t>
  </si>
  <si>
    <t>Tigo/Flexenclosure; National DC (Huawei/Govt)</t>
  </si>
  <si>
    <t>~5.8% CAGR</t>
  </si>
  <si>
    <t>Power instability; low electrification; telecom duopoly</t>
  </si>
  <si>
    <t>Carrier-neutral redundancy; prefabricated modular focus</t>
  </si>
  <si>
    <t>374â€¯mÂ² Togo DC (~4,023â€¯sqâ€¯ft); National DC 500â€¯mÂ²Ã—4 floors = ~21,528â€¯sqâ€¯ft; total â‰ˆ25,551â€¯sqâ€¯ft</t>
  </si>
  <si>
    <t>DataCenterDynamics; Ecofin/Extensia; Statista; World Bank</t>
  </si>
  <si>
    <t>31</t>
  </si>
  <si>
    <t>Ascenty (2 sites), Equinix (4), Cirion, ClaroVTR, EdgeConneX, Google Cloud region, AWS upcoming</t>
  </si>
  <si>
    <t>~7% CAGR</t>
  </si>
  <si>
    <t>Strict environmental regs; drought &amp; water-use concerns</t>
  </si>
  <si>
    <t>Carrier-neutral redundancy; DR features; hyperscale build standards</t>
  </si>
  <si>
    <t>Ascenty Santiago1:64,600â€¯sqâ€¯ft; Santiago2:226,000â€¯sqâ€¯ft; PIT Chile:11,786â€¯sqâ€¯ft; Equinix ST1â€“ST4:81,000â€¯sqâ€¯ft; EdgeConneX:28,000â€¯sqâ€¯ftâ€ </t>
  </si>
  <si>
    <t>InvestChile; DatacenterDynamics; Baxtel; DCDyn; Wikipedia; EdgeConneX; Reddit waterâ€‘use threads</t>
  </si>
  <si>
    <t>ANRTIC/government</t>
  </si>
  <si>
    <t>ISP monopoly; no commercial DC market</t>
  </si>
  <si>
    <t>Government/UN rack deployment only</t>
  </si>
  <si>
    <t>Planned national data center (2025); no formal raisedâ€‘floor space</t>
  </si>
  <si>
    <t>Data from APC; CapMad; Internet Society Pulse</t>
  </si>
  <si>
    <t>Congo, Democratic Republic of the</t>
  </si>
  <si>
    <t>Raxio DRC1; OADC Texaf DRC (Kinshasa)</t>
  </si>
  <si>
    <t>Power instability; connectivity gaps</t>
  </si>
  <si>
    <t>Carrier-neutral Tierâ€¯III redundancy; modular prefab design</t>
  </si>
  <si>
    <t>Raxio 16,598â€¯sqâ€¯ft; OADC white-space 10,764â€¯sqâ€¯ft; total â‰ˆ27,362â€¯sqâ€¯ft</t>
  </si>
  <si>
    <t>DataCenterDynamics; DCDyn; Raxio spec sheets; Datacenters.com; WIOCC</t>
  </si>
  <si>
    <t>Congo, Republic of the</t>
  </si>
  <si>
    <t>Government ARPCE (Brazzaville 2021), Pointeâ€‘Noire ARPCE (2Africaâ€‘connected)</t>
  </si>
  <si>
    <t>Low infrastructure investment; centralized control</t>
  </si>
  <si>
    <t>Tierâ€¯III carrier neutral; government redundancy</t>
  </si>
  <si>
    <t>2021 Brazzaville DC (size undisclosed); Pointeâ€‘Noire ARPCE DC: 156â€¯sqâ€¯m (~1,680â€¯sqâ€¯ft); estimated total â‰ˆ3,710â€¯sqâ€¯ft</t>
  </si>
  <si>
    <t>DataCenterDynamics; ARPCE release; Wikipedia; Internet Society Pulse</t>
  </si>
  <si>
    <t>Data Center Costa Rica; Ufinet EscazÃº; IFX Alajuela; Arena (Bassett AI); RackNation; Servers Lodge; Critical Colocation; Costa Rica Servers; RackNation Curridabat; RackNation San Pedro</t>
  </si>
  <si>
    <t>~8â€“12% growth</t>
  </si>
  <si>
    <t>Strict environmental &amp; seismic standards; high-cost energy</t>
  </si>
  <si>
    <t>Carrier-neutral redundancy; N+1 cooling; DR-ready</t>
  </si>
  <si>
    <t>Tierâ€¯III whitespace: 45â€¯sqâ€¯ft; Ufinet 4,305â€¯sqâ€¯ft; IFX 8,611â€¯sqâ€¯ft; Arena 281,800â€¯sqâ€¯ft; others small colos (~â€‰â€“50kâ€¯sqâ€¯ft); total â‰ˆ292,761â€¯sqâ€¯ft</t>
  </si>
  <si>
    <t>DataCenterMap; Datacenters.com; Baxtel; reddit</t>
  </si>
  <si>
    <t>Côte d'Ivoire</t>
  </si>
  <si>
    <t>ST Digital VITIB, Raxio CIV1, Equinix/MainOne, Orange GOS, MTN modular colocation</t>
  </si>
  <si>
    <t>~12% CAGR</t>
  </si>
  <si>
    <t>Power grid variability; coastal water scarcity; regulatory oversight</t>
  </si>
  <si>
    <t>Carrier-neutral redundancy; landing station; DR features</t>
  </si>
  <si>
    <t>Raxio CIV1:43,055â€¯sqâ€¯ft; Raxio:21,528â€¯sqâ€¯ft white space; Orange:179,000â€¯sqâ€¯ft gross; ST Digital:43,055; MainOne AB1.2: modular; total â‰ˆ146,763â€¯sqâ€¯ft</t>
  </si>
  <si>
    <t>DataCenterDynamics; Raxio; MainOne/Equinix; ST Digital; Internet Society Pulse</t>
  </si>
  <si>
    <t>18</t>
  </si>
  <si>
    <t>A1 Croatia; PCKâ€‘DataCross; DC North; Croatian Web Hosting; SRCE Zagreb; Hrvatski Telekom</t>
  </si>
  <si>
    <t>~5% growth</t>
  </si>
  <si>
    <t>Strict EU building/environmental regs; seismic resilience for Zagreb</t>
  </si>
  <si>
    <t>Tierâ€¯III carrier-neutral redundancy; Tierâ€¯II regional sites</t>
  </si>
  <si>
    <t>A1 Zagreb 21,500â€¯sqâ€¯ft; Vipnet footprint 5,759â€¯sqâ€¯ft; SRCE 21,754â€¯sqâ€¯ft; PCKâ€‘KriÅ¾ 17,222â€¯sqâ€¯ft; PCKâ€‘Jastrebarsko 13,993â€¯sqâ€¯ft; DC North VaraÅ¾din 21,528â€¯sqâ€¯ft</t>
  </si>
  <si>
    <t>DataCenterDynamics; Baxtel; DataCenterJournal; DatacenterMap</t>
  </si>
  <si>
    <t>ETECSA (state telecom)</t>
  </si>
  <si>
    <t>State telecom monopoly; heavy gov control</t>
  </si>
  <si>
    <t>Carrierâ€‘neutral UPS/generation; basic cooling</t>
  </si>
  <si>
    <t>No formal raisedâ€‘floor DCs publicly documented; Google installed Global Cache cache servers (~2016)</t>
  </si>
  <si>
    <t>Data Center Development references; Wikipedia Cuba telecom &amp; Internet; DCDyn news</t>
  </si>
  <si>
    <t>Simplex LIM1 (Limassol); Cyta LCA1 (Larnaca)</t>
  </si>
  <si>
    <t>Government &amp; telco infrastructure oversight; strict compliance</t>
  </si>
  <si>
    <t>Tierâ€¯III carrier-neutral redundancy; modular N+1 cooling</t>
  </si>
  <si>
    <t>Simplex LIM1:1,895â€¯sqâ€¯ft; Cyta LCA1:11,000â€¯sqâ€¯ft; total â‰ˆ12,895â€¯sqâ€¯ft</t>
  </si>
  <si>
    <t>DataCenterMap; DatacenterDynamics; Baxtel</t>
  </si>
  <si>
    <t>36</t>
  </si>
  <si>
    <t>ÄŒeskÃ© Radiokomunikace (8 sites), Seznam.cz (Nagoya, Kokura), Tâ€‘Mobile DC7, TTC Teleport (2+), CE Colo (4), Aruba CZ1, others</t>
  </si>
  <si>
    <t>~6% CAGR</t>
  </si>
  <si>
    <t>Strict EU/regional compliance; sustainable energy goals</t>
  </si>
  <si>
    <t>Carrier-neutral redundancy; modular &amp; prefab freeâ€‘cooling</t>
  </si>
  <si>
    <t>CRA DC Tower expansion (+1.3â€¯MW); Nagoya &amp; Kokura each 1,200â€¯mÂ² (~12,916â€¯sqâ€¯ft); Tâ€‘Mobile DC7 expansion added 15,070â€¯sqâ€¯ft; Aruba Cloud CZ1:16,146â€¯sqâ€¯ft; TTC Teleport DC2:43,056â€¯sqâ€¯ft; CE Colo DC7:30,139â€¯sqâ€¯ftâ€”total â‰ˆ355,002â€¯sqâ€¯ft</t>
  </si>
  <si>
    <t>DataCenterDynamics; Baxtel; Datacenters.com; SDxCentral; DCDyn; Aruba Cloud</t>
  </si>
  <si>
    <t>42</t>
  </si>
  <si>
    <t>Apple (Foulum); Meta Odense (2 sites); Google Fredericia; atNorth DEN01; Interxion/Digital Realty; GlobalConnect; JN Data</t>
  </si>
  <si>
    <t>~6â€“13% CAGR</t>
  </si>
  <si>
    <t>Strict EU standards; cold-climate cooling; sustainability mandates</t>
  </si>
  <si>
    <t>Carrier-neutral redundancy; freeâ€‘cooling, direct liquid options</t>
  </si>
  <si>
    <t>New &amp; upcoming white-space ~1.1Mâ€¯sqâ€¯ft; Apple DC 1.8Mâ€¯sqâ€¯ft gross; Meta Odense 323k + 296kâ€¯sqâ€¯ft; atNorth 29.7kâ€¯sqâ€¯ft whitespace</t>
  </si>
  <si>
    <t>Data from Baxtel; ResearchAndMarkets; Wikipedia; DataCenterDynamics</t>
  </si>
  <si>
    <t>Djibouti Data Center (DDC) by Djibouti Telecom &amp; investors; DjIX colocation</t>
  </si>
  <si>
    <t>Subsea cable hub; power reliability critical; gov-led infrastructure</t>
  </si>
  <si>
    <t>Carrier-neutral redundancy; UPS/gens; on-site colocation</t>
  </si>
  <si>
    <t>Cable Landing Station colocation rooms ~2,690â€¯sqâ€¯ft per floor; no dedicated raised-floor DC; upcoming PAIX JIB1 with 50,000â€¯sqâ€¯ft planned</t>
  </si>
  <si>
    <t>Data from Djibouti Data Center site; DataCenterDynamics; wearetech.africa</t>
  </si>
  <si>
    <t>Government (Digicel partnership)</t>
  </si>
  <si>
    <t>Hurricane resilience needed; terrain impacts network deployment</t>
  </si>
  <si>
    <t>Government DC &amp; secondary backup; carrier-neutral rack colocation</t>
  </si>
  <si>
    <t>Cable landing station racks ~2,690â€¯sqâ€¯ft; no raised-floor DC publicly disclosed</t>
  </si>
  <si>
    <t>Data from Digital Dominica Q1â€¯2025; DataReportal; Internet Society Pulse; Telecom sector reports</t>
  </si>
  <si>
    <t>KIO Networks (SDO1 Santo Domingo)</t>
  </si>
  <si>
    <t>Hurricane- and seismic-resistant build; free-tradeâ€‘zoned site</t>
  </si>
  <si>
    <t>2â€¯N UPS; 2â€¯N cooling redundancy; diesel gens; raised-floor (~223â€¯mÂ²)</t>
  </si>
  <si>
    <t>Data from Datacenters.com &amp; DatacenterMap</t>
  </si>
  <si>
    <t>30-35%</t>
  </si>
  <si>
    <t>CNT, GCI, local ISPs</t>
  </si>
  <si>
    <t>Air cooling, some energy-efficient</t>
  </si>
  <si>
    <t>Power reliability, import duties, limited certifications</t>
  </si>
  <si>
    <t>Hydropower usage, move to energy-efficient tech</t>
  </si>
  <si>
    <t>Telecom reports, regional market studies (2023-2025)</t>
  </si>
  <si>
    <t>7-10%</t>
  </si>
  <si>
    <t>20-30%</t>
  </si>
  <si>
    <t>Claro El Salvador, local ISPs</t>
  </si>
  <si>
    <t>5-8%</t>
  </si>
  <si>
    <t>Air cooling</t>
  </si>
  <si>
    <t>Power reliability and infrastructure challenges</t>
  </si>
  <si>
    <t>Hydropower and geothermal energy usage</t>
  </si>
  <si>
    <t>Regional telecom reports, market surveys (2023-2025)</t>
  </si>
  <si>
    <t>Local ISPs, small colocation</t>
  </si>
  <si>
    <t>Infrastructure challenges, limited regulations</t>
  </si>
  <si>
    <t>Minimal green initiatives, early stage</t>
  </si>
  <si>
    <t>Telecom reports 2023</t>
  </si>
  <si>
    <t>Infrastructure and power challenges</t>
  </si>
  <si>
    <t>No significant green initiatives</t>
  </si>
  <si>
    <t>Telecom and regional reports 2023</t>
  </si>
  <si>
    <t>7</t>
  </si>
  <si>
    <t>Elisa, Telia, Balticom</t>
  </si>
  <si>
    <t>Air and liquid cooling</t>
  </si>
  <si>
    <t>Strict data privacy laws, GDPR compliance</t>
  </si>
  <si>
    <t>Strong green initiatives, renewable energy use</t>
  </si>
  <si>
    <t>European data center reports 2024</t>
  </si>
  <si>
    <t>Power reliability challenges</t>
  </si>
  <si>
    <t>Minimal green initiatives</t>
  </si>
  <si>
    <t>Local ISPs, Ethio Telecom</t>
  </si>
  <si>
    <t>Power infrastructure and regulatory challenges</t>
  </si>
  <si>
    <t>Some early green initiatives</t>
  </si>
  <si>
    <t>Local ISPs, Telecom Fiji</t>
  </si>
  <si>
    <t>Power reliability, geographic isolation</t>
  </si>
  <si>
    <t>Some use of renewable energy</t>
  </si>
  <si>
    <t>Ficolo, Equinix, Telia, DNA</t>
  </si>
  <si>
    <t>Strict data protection laws, sustainability regulations</t>
  </si>
  <si>
    <t>Strong green initiatives; extensive renewable energy use</t>
  </si>
  <si>
    <t>Industry and government reports 2024</t>
  </si>
  <si>
    <t>Local ISPs, Gabon Telecom</t>
  </si>
  <si>
    <t>Power infrastructure challenges</t>
  </si>
  <si>
    <t>Local ISPs, Gambia Telecommunications</t>
  </si>
  <si>
    <t>Power reliability issues</t>
  </si>
  <si>
    <t>~82</t>
  </si>
  <si>
    <t>Local providers: CLOUD9, REDBRIDGEx, WORLDBUS, LABTech, cloudx.ge, CloudBoom, DAC Services</t>
  </si>
  <si>
    <t>~10â€“15â€¯% annual growth</t>
  </si>
  <si>
    <t>Air-economizer, precision AC, evaporative cooling</t>
  </si>
  <si>
    <t>Low regulation, land/network permitting hurdles, environmental review required</t>
  </si>
  <si>
    <t>Some DR in Tbilisi-based multi-site providers</t>
  </si>
  <si>
    <t>No large-scale waste-heat reuse; hydro grid supply (~81â€¯%)</t>
  </si>
  <si>
    <t>Multiple sources: enSUn, MagtiCom wiki, Caucasus cable wiki, green data center guides :contentReference[oaicite:1]{index=1}</t>
  </si>
  <si>
    <t>MDXi (Equinix), Onix, PAIX, NITA</t>
  </si>
  <si>
    <t>Air cooling, precision AC, diesel backup</t>
  </si>
  <si>
    <t>Power reliability &amp; fuel cost issues</t>
  </si>
  <si>
    <t>Few formal DR sites</t>
  </si>
  <si>
    <t>Hydro-thermal energy mix, no major green DC initiatives yet</t>
  </si>
  <si>
    <t>Internet Society, Africa Hyperscalers, Baxtel, Telecom Reports 2024</t>
  </si>
  <si>
    <t>57</t>
  </si>
  <si>
    <t>CloudRock, Digital Realty (Lamdaâ€¯Hellix), Friktoria, Hostmein IKE, Sparkle, Lancom, Synapsecom</t>
  </si>
  <si>
    <t>Air cooling, precision AC, economizers</t>
  </si>
  <si>
    <t>Permitting, grid capacity, environmental compliance</t>
  </si>
  <si>
    <t>5 (multiâ€‘city redundancy)</t>
  </si>
  <si>
    <t>Energy efficiency focus, upcoming GreenMed cable, renewables push</t>
  </si>
  <si>
    <t>Arizton 2025, ResearchAndMarkets, Wikipedia, GRâ€‘IX</t>
  </si>
  <si>
    <t>Digicel, Flow, CCGL</t>
  </si>
  <si>
    <t>Air cooling, small precision AC</t>
  </si>
  <si>
    <t>Power reliability &amp; limited redundancy</t>
  </si>
  <si>
    <t>GREX IXP; basic connectivity, minimal green initiatives</t>
  </si>
  <si>
    <t>DataReportal 2025; Internet Society Pulse; Telecom Reports 2024</t>
  </si>
  <si>
    <t>KIO (KIO Guatemala 1), Navegalo, Cloud2Nube, Tigo DC, IPXON</t>
  </si>
  <si>
    <t>Air cooling, precision AC, generators</t>
  </si>
  <si>
    <t>Power reliability, seismic/hurricane risk, permits</t>
  </si>
  <si>
    <t>Emerging modular Tierâ€¯II/III (Loqui Phaseâ€¯1â€‘2 low-carbon)</t>
  </si>
  <si>
    <t>KIO brochure, DataCenterMap, Statista 2025, Wikipedia, DCD Latin America</t>
  </si>
  <si>
    <t>GUILAB S.A.</t>
  </si>
  <si>
    <t>Power instability, regulatory hurdles, censorship</t>
  </si>
  <si>
    <t>Minimal green initiatives; ACE cable landing via GUILAB</t>
  </si>
  <si>
    <t>DatacenterMap, Statista, Wikipedia Telecom, Inflect Conakry</t>
  </si>
  <si>
    <t>MTN, Orange, Guinetel</t>
  </si>
  <si>
    <t>Power instability, regulatory rebuilding</t>
  </si>
  <si>
    <t>No green DC initiatives yet</t>
  </si>
  <si>
    <t>DataReportal 2025, Internet Society Pulse, WATRA, Telecom Wiki</t>
  </si>
  <si>
    <t>GTT, Digicel, ENet</t>
  </si>
  <si>
    <t>Air cooling, small precision AC, satellite backup</t>
  </si>
  <si>
    <t>Power stability, remote connectivity challenges</t>
  </si>
  <si>
    <t>1 (upcoming second DR site)</t>
  </si>
  <si>
    <t>Deep Blue</t>
  </si>
  <si>
    <t>Teleco, Natcom, Access Haiti, Hainet, Starlink</t>
  </si>
  <si>
    <t>Power instability, political instability &amp; permitting delays</t>
  </si>
  <si>
    <t>Satellite uptake (Starlink), CARCIP/ECFS cables but no green DCs</t>
  </si>
  <si>
    <t>DataReportal 2025; Internet Society Pulse; Telecom &amp; Wikipedia 2025</t>
  </si>
  <si>
    <t>NavÃ©galo, Tigo DC Evolution, IFX Networks</t>
  </si>
  <si>
    <t>Power reliability, seismic/hurricane risk, permitting</t>
  </si>
  <si>
    <t>1 (primary colocation)</t>
  </si>
  <si>
    <t>ARCOSâ€‘1, MAYAâ€‘1 submarine + inland GRâ€‘IX DR site</t>
  </si>
  <si>
    <t>NavÃ©galo site data, Internet Society, DataReportal, DataCenterMap 2025</t>
  </si>
  <si>
    <t>19</t>
  </si>
  <si>
    <t>T-Systems, Equinix, Digital Realty, 3data, NTT, IXcellerate, Vantage</t>
  </si>
  <si>
    <t>Air cooling, precision AC, economizers, microgrids</t>
  </si>
  <si>
    <t>Power constraints, grid capacity, permitting</t>
  </si>
  <si>
    <t>5+ (Budapest + regional)</t>
  </si>
  <si>
    <t>Solar PPA deals &amp; Hungaryâ€™s 25% solar grid mix</t>
  </si>
  <si>
    <t>CBRE 2025, Cloudscene, GrandViewResearch, Wikipedia, Solar power in Hungary, Reddit</t>
  </si>
  <si>
    <t>atNorth, Verne Global, Borealis</t>
  </si>
  <si>
    <t>Ambient free cooling, precision AC, geothermal exchange</t>
  </si>
  <si>
    <t>Energy allocation policy, crypto mining limits, permitting for new cables</t>
  </si>
  <si>
    <t>3 (multi-campus HPC/colo clusters)</t>
  </si>
  <si>
    <t>100% renewable hydro+geothermal, PUEâ€¯1.05â€“1.2, PPAs &amp; carbon-neutral projects</t>
  </si>
  <si>
    <t>Country Reports, Data Centers by Iceland, DCI, IT Pro, Verne Global press</t>
  </si>
  <si>
    <t>Asiatech, Mobinnet, Pars Online, Shatel</t>
  </si>
  <si>
    <t>Air cooling, precision AC, generators, modular setups</t>
  </si>
  <si>
    <t>Energy sanctions, censorship, licensing hurdles</t>
  </si>
  <si>
    <t>2 (Tehran + regional site)</t>
  </si>
  <si>
    <t>Large NIN intranet nodes, limited green DC efforts</t>
  </si>
  <si>
    <t>Statista 2025, DataCenterMap, Wikipedia, ensun.io, communications reports</t>
  </si>
  <si>
    <t>12</t>
  </si>
  <si>
    <t>AsiaCell DC, FastIraq, iQ Group, Linkdata (Erbil)</t>
  </si>
  <si>
    <t>Energy instability, political/regulatory hurdles, censorship</t>
  </si>
  <si>
    <t>2 (Baghdad, Erbil)</t>
  </si>
  <si>
    <t>Fiber backbone via Silk Route &amp; GBI, satellite backup</t>
  </si>
  <si>
    <t>Statista, Internet Society Pulse, DatacenterMap, Wikipedia, Silk Route network info 2025</t>
  </si>
  <si>
    <t>37</t>
  </si>
  <si>
    <t>710</t>
  </si>
  <si>
    <t>Equinix, Digitalâ€¯Realty, Amazonâ€¯AWS, Google, Microsoft, Vantage</t>
  </si>
  <si>
    <t>Air cooling, precision AC, economizers, on-site batteries/gas gen</t>
  </si>
  <si>
    <t>Grid moratorium in Dublin, planning delays, climate impact scrutiny</t>
  </si>
  <si>
    <t>5+ (Dublin+Ennis/Cork)</t>
  </si>
  <si>
    <t>Off-site renewables (wind/solar PPAs), battery projects, heat reuse pilots</t>
  </si>
  <si>
    <t>Data centre market reports; Financial Times; AP News; ResearchAndMarkets; Wikipedia; INEX documentation</t>
  </si>
  <si>
    <t>EdgeConnex, Bezeq International, MedOne, Global Technical, Compass, Serverfarm, SDS</t>
  </si>
  <si>
    <t>Air cooling, precision AC, economy chillers, N+1 redundancy, microgrids</t>
  </si>
  <si>
    <t>Energy grid security, land scarcity, permitting delays, telecom regulation</t>
  </si>
  <si>
    <t>3+ (Tel Aviv, Beâ€™er Sheva, Haifa)</t>
  </si>
  <si>
    <t>Enlight solar-powered DCs, microgrids pilots, PPAs, solar rooftops push</t>
  </si>
  <si>
    <t>Arizton, Mordor Intelligence, Reuters, DCD, Wikipedia</t>
  </si>
  <si>
    <t>~12</t>
  </si>
  <si>
    <t>52</t>
  </si>
  <si>
    <t>513</t>
  </si>
  <si>
    <t>Aruba, Telecom Italia, Equinix, Digital Realty, Data4, CyrusOne, Vantage, Eni, CloudHQ</t>
  </si>
  <si>
    <t>Air cooling, precision AC, economizers, microgrids, closedâ€‘loop &amp; liquid cooling</t>
  </si>
  <si>
    <t>Grid permitting delays, moratoriums in Milan/Dublin-like zones, energy demand strain</t>
  </si>
  <si>
    <t>5+ (Milan, Rome, Arezzo, Turin, Bologna)</t>
  </si>
  <si>
    <t>PPAs (Aruba, Equinix, DATA4), Eni lowâ€‘carbon DCs, hydroâ€‘solar hybrids</t>
  </si>
  <si>
    <t>Data from Cloudscene, Arizton, Mordor, PanAm Finance, Reuters, Terna, Reddit</t>
  </si>
  <si>
    <t>eGov (government), Digicel, Flow</t>
  </si>
  <si>
    <t>Air cooling, small precision AC, seawater cooling pilot</t>
  </si>
  <si>
    <t>Power reliability, high cost, permitting</t>
  </si>
  <si>
    <t>1 (eGov DR in St Catherine)</t>
  </si>
  <si>
    <t>Seawater cooling pilot, satellite (Starlink) uptake</t>
  </si>
  <si>
    <t>Crown data from DCD, Statista, Observer, Wikipedia, Reddit 2023-25</t>
  </si>
  <si>
    <t>Zain, Orange Jordan, Umniah Broadband DCs</t>
  </si>
  <si>
    <t>Air cooling, precision AC, generators, modular racks</t>
  </si>
  <si>
    <t>Energy/grid constraints, telecom licensing, cybercrime law censorship</t>
  </si>
  <si>
    <t>2 (Amman + Irbid/region)</t>
  </si>
  <si>
    <t>National fibre backbone, satellite backup, no major green DCs</t>
  </si>
  <si>
    <t>DataReportal 2025, Internet Society Pulse, DatacenterMap, Wikipedia, Reddit</t>
  </si>
  <si>
    <t>Kazakhtelecom, IPNet (Kar-Tel), Tele2-KZ Altel, Kcell</t>
  </si>
  <si>
    <t>Occasional internet shutdowns, energy mix dependency, telecom licensing hurdles</t>
  </si>
  <si>
    <t>2 (Nurâ€‘Sultan, Almaty)</t>
  </si>
  <si>
    <t>NURâ€‘Almaty fibre backbone via Silk Road, satellite backup</t>
  </si>
  <si>
    <t>Internet Society Pulse 2025, DataReportal 2025, The Economic Times, Wikipedia, WorldData</t>
  </si>
  <si>
    <t>11</t>
  </si>
  <si>
    <t>Africa Data Centres, Digital Realty/Icolo, Safaricom, IXAfrica, Airtel Africa, MTN, PAIX</t>
  </si>
  <si>
    <t>Air cooling, precision AC, adiabatic/liquid cooling pilots, modular setups</t>
  </si>
  <si>
    <t>Grid reliability, high energy cost, permitting delays</t>
  </si>
  <si>
    <t>2 (Nairobi + Mombasa)</t>
  </si>
  <si>
    <t>TEAMS, 2Africa, EASSy, Inland national fibre backbone, solar pilot projects</t>
  </si>
  <si>
    <t>DataReportal, Internet Society Pulse, ResearchAndMarkets, Arizton, Credence, Reddit</t>
  </si>
  <si>
    <t>ATHKL (Coconut Wireless)</t>
  </si>
  <si>
    <t>Satellite (GEO, HTS), early Starlink LEO</t>
  </si>
  <si>
    <t>Very high latency, remoteness, regulator delays</t>
  </si>
  <si>
    <t>Southern Cross NEXT cable landing (Tarawa branch); minimal green DCs; solar-powered community hubs</t>
  </si>
  <si>
    <t>DataReportal analogues, Wikipedia, TechSources, APNIC Blog, CCK, Kacific, SC Next Cable</t>
  </si>
  <si>
    <t>Korea, North</t>
  </si>
  <si>
    <t>Koryolink, Mirae (Kwangmyong intranet)</t>
  </si>
  <si>
    <t>Satellite and intranet Wiâ€‘Fi (Mirae), 3G/4G intranet</t>
  </si>
  <si>
    <t>Total censorship, extreme regulation, international sanctions</t>
  </si>
  <si>
    <t>State intranet nodes only, no DR sites</t>
  </si>
  <si>
    <t>No green DC initiatives; limited state intranet hubs</t>
  </si>
  <si>
    <t>Korea, South</t>
  </si>
  <si>
    <t>35</t>
  </si>
  <si>
    <t>Samsungâ€¯SDS, LGâ€¯CNS, KTâ€¯Cloud, SKâ€¯Broadband, Naverâ€¯Cloud, Equinix, Digitalâ€¯Realty, AWS, Google, Microsoft</t>
  </si>
  <si>
    <t>Air cooling, precision &amp; liquid cooling, economizers, on-site batteries/microgrids</t>
  </si>
  <si>
    <t>Grid capacity strain, land scarcity in Seoul, permitting delays, energy moratoriums</t>
  </si>
  <si>
    <t>5+ (Seoul, Busan, Daegu, Daejeon, Incheon)</t>
  </si>
  <si>
    <t>Solar PPAs (Amazonâ€‘SKâ€‘E&amp;S 60â€¯MW), ZEB building mandates, green data center market USDâ€¯788â€¯M</t>
  </si>
  <si>
    <t>Datacenter colocation market report; Credence, Mordor, Reuters, Arizton, Wikipedia, Reddit</t>
  </si>
  <si>
    <t>Datatime + local ISP racks (Nurtelcom, Alfa, Bitel)</t>
  </si>
  <si>
    <t>Grid disruptions/outages, mountainous terrain, licensing delays</t>
  </si>
  <si>
    <t>1 (Bishkek)</t>
  </si>
  <si>
    <t>NUR backbones + satellite fallback; no green DCs yet</t>
  </si>
  <si>
    <t>DataReportal, Internet Society Pulse, Datatime press, Statista, Wikipedia</t>
  </si>
  <si>
    <t>Global DMS/National, LaoDC, Unitel/Lao Telecom</t>
  </si>
  <si>
    <t>Air cooling, precision AC, modular setups, satellite fallback</t>
  </si>
  <si>
    <t>Hydropower variability causing outages, data localization rules, licensing delays</t>
  </si>
  <si>
    <t>2 (Vientiane + secondary site)</t>
  </si>
  <si>
    <t>Cross-border fiber to China/Vietnam/Thailand, SCâ€¯NEXT landing, solarâ€‘hydro hybrid projects</t>
  </si>
  <si>
    <t>Internet Society Pulse, DataReportal, Reuters 2024, InternetInLaos, DataCenterMap</t>
  </si>
  <si>
    <t>9</t>
  </si>
  <si>
    <t>DEAC/DLC, Tet, Telenet, SigmaNet, VERnet, Bite One</t>
  </si>
  <si>
    <t>Air cooling, precision AC, liquidâ€‘cooling pilots (DEAC), economizers</t>
  </si>
  <si>
    <t>Semiâ€‘annual grid decoupling challenges, permitting, gas fallback during peak</t>
  </si>
  <si>
    <t>3 (Riga + Salaspils + regional ISP hub)</t>
  </si>
  <si>
    <t>LIX, multiple fiber links to Baltics/Nordics, Southernâ€¯Cross NEXT landing, solar farm tieâ€‘ins</t>
  </si>
  <si>
    <t>Statista, ResearchAndMarkets, DCDriched, Wikipedia, Cloudscene, Reddit network notes</t>
  </si>
  <si>
    <t>Ogero, Alfa, Touch, Berytech SCAL, AdvancedÂ IX, Dotâ€¯SARL</t>
  </si>
  <si>
    <t>Air cooling, satellite fallback, basic 3G/4G rigs</t>
  </si>
  <si>
    <t>Grid instability, fuel shortages, outdated copper, Ogero monopoly, censorship</t>
  </si>
  <si>
    <t>Southernâ€‘Europe cable: Iâ€‘MEâ€‘WE, ECFS; Starlink pending license; no green DCs</t>
  </si>
  <si>
    <t>DataReportal, Internet Society Pulse, Wikipedia, Reddit, Reuters Starlink 2025</t>
  </si>
  <si>
    <t>Vodacom Maseru West &amp; Lekokoaneng</t>
  </si>
  <si>
    <t>8â€¯%</t>
  </si>
  <si>
    <t>Air cooling, basic precision AC, backup generators, modular prefab</t>
  </si>
  <si>
    <t>Cable landing delays, operator monopoly, power reliability</t>
  </si>
  <si>
    <t>Southern Cross NEXT cable (Tarawa branch), Starlink license granted; no green DCs yet</t>
  </si>
  <si>
    <t>Internet Society Pulse, DataCenterMap, Vodacom listings, CCK, Wikipedia, Reddit</t>
  </si>
  <si>
    <t>Lonestar, Orange Liberia, PowerNet, Libtelco</t>
  </si>
  <si>
    <t>Air cooling, satellite fallback, CDMA/4G cell, micro-POP hubs</t>
  </si>
  <si>
    <t>ACE cable outages, rural connectivity challenges, regulatory limits</t>
  </si>
  <si>
    <t>Government MoU for future data center &amp; subsea cable; solar mini-hubs emerging</t>
  </si>
  <si>
    <t>DataReportal 2025; Internet Society Pulse; DCD; Wikipedia ACE; Reuters rural connectivity</t>
  </si>
  <si>
    <t>?</t>
  </si>
  <si>
    <t>Alaan, Sadeem, Qabas, LTT colocation sites, Libyan Spider</t>
  </si>
  <si>
    <t>Grid instability, fuel power outages, regulatory monopoly (LPTIC), censorship</t>
  </si>
  <si>
    <t>Subsea links via Egypt &amp; AFR-IX to MED cable, planned joint Egypt cables; green DC consortium in planning</t>
  </si>
  <si>
    <t>DataCenterMap, Internet Society Pulse 2025, Alwasat Libya, Sadeem, STL Partners</t>
  </si>
  <si>
    <t>Kyberna Balzers, ICTâ€‘Center Vaduz, SupraNet Eschen, SupraNet Schaan, Speedcom Schaan/Ruggell</t>
  </si>
  <si>
    <t>Air cooling, precision AC, economizers, underground fiber loops</t>
  </si>
  <si>
    <t>High cost of land, planning limits, grid tied to Swiss, cooling constraints</t>
  </si>
  <si>
    <t>3 (Vaduz, Balzers, Schaan)</t>
  </si>
  <si>
    <t>Vaduz IXP, cross-border Swiss fiber, pilot LPWA/Helium IoT, solar rooftop trials</t>
  </si>
  <si>
    <t>DataReportal 2025, Acronis press, DatacenterMap, IXP.cat, Reddit, TheGlobalEconomy, Wikipedia</t>
  </si>
  <si>
    <t>DEAC, DLC (Delska), Telia, Kilo DC, KV Baltic, Hostex</t>
  </si>
  <si>
    <t>Air cooling, precision &amp; liquid cooling, economizers, free ambient cooling</t>
  </si>
  <si>
    <t>Permitting delays, grid balancing during renewables surge, dataâ€‘centre pact obligations</t>
  </si>
  <si>
    <t>3 (Vilnius + Kaunas + KlaipÄ—da)</t>
  </si>
  <si>
    <t>Kruonis pumpedâ€‘hydro power + NordBalt &amp; LitPol Link cables; offshore wind + solar tieâ€‘ins</t>
  </si>
  <si>
    <t>Government energy plans, Invest Lithuania, ResearchAndMarkets, Wikipedia, Reddit</t>
  </si>
  <si>
    <t>LuxConnect, EBRC, BCE, Visual Online, Data4, SecureIT, Portus</t>
  </si>
  <si>
    <t>Air cooling, free cooling, biomass cogeneration, waste heat reuse</t>
  </si>
  <si>
    <t>Regulatory delays (e.g., Google Bissen), land scarcity, high energy demand</t>
  </si>
  <si>
    <t>5 (Bettembourg, Bissen, Windhof, Contern, Kayl)</t>
  </si>
  <si>
    <t>LU-CIX exchange, cross-border fiber to France, Germany, Belgium; EU-funded satellite IRISÂ² project</t>
  </si>
  <si>
    <t>Invest Luxembourg, ReportLinker, Statista, LU-CIX, DatacenterJournal, Wikipedia</t>
  </si>
  <si>
    <t>None</t>
  </si>
  <si>
    <t>Mobile 3G/4G, satellite, Wi-Fi hotspots</t>
  </si>
  <si>
    <t>High cost of infrastructure, limited fixed broadband, low data center adoption</t>
  </si>
  <si>
    <t>Internet Society Pulse, DataReportal</t>
  </si>
  <si>
    <t>566</t>
  </si>
  <si>
    <t>NTT, AirTrunk, Yondr, Microsoft, Google, Alibaba, AWS, Telekom Malaysia, Bridge, Vantage, YTLDC</t>
  </si>
  <si>
    <t>Air cooling, liquid cooling, free cooling, solar, battery storage</t>
  </si>
  <si>
    <t>High construction cost, water scarcity, regulatory complexity</t>
  </si>
  <si>
    <t>5 (Johor, Cyberjaya, Kuala Lumpur, Iskandar Puteri, Kulai)</t>
  </si>
  <si>
    <t>Regional fiber backbone, submarine cables to Singapore, Indonesia, Thailand; 5G rollout underway</t>
  </si>
  <si>
    <t>InvestKL, MIDA</t>
  </si>
  <si>
    <t>Mobile 3G/4G/5G, fiber, satellite</t>
  </si>
  <si>
    <t>Geographic dispersion, limited local data center capacity</t>
  </si>
  <si>
    <t>No data</t>
  </si>
  <si>
    <t>Mobile 2G/3G/4G, satellite</t>
  </si>
  <si>
    <t>Mobile 3G/4G, fiber, satellite</t>
  </si>
  <si>
    <t>High infrastructure costs, limited fixed broadband, low data center adoption</t>
  </si>
  <si>
    <t>Mobile 3G/4G, satellite</t>
  </si>
  <si>
    <t>High infrastructure costs, low internet penetration, limited data center adoption</t>
  </si>
  <si>
    <t>Monaco Telecom</t>
  </si>
  <si>
    <t>Mobile 4G/5G, fiber</t>
  </si>
  <si>
    <t>High infrastructure costs, limited data center adoption</t>
  </si>
  <si>
    <t>Information Communications Network LLC, MobiCom Corporation, Skytel Group</t>
  </si>
  <si>
    <t>Crnogorski Telekom, m:tel, One</t>
  </si>
  <si>
    <t>Mobile 4G/5G, fiber, local IXP cache/Satellite fallback</t>
  </si>
  <si>
    <t>Permitting complexity, limited digital infrastructure, rural-urban divide</t>
  </si>
  <si>
    <t>One national IXP, cross-border fiber (Serbia/Croatia), upcoming state DC in Hungary deal</t>
  </si>
  <si>
    <t>Internet Society Pulse, DataReportal, DCD, Wikipedia, Reddit</t>
  </si>
  <si>
    <t>25</t>
  </si>
  <si>
    <t>Marocâ€¯Telecom, Inwi, N+One Datacenters, Oracle Labs</t>
  </si>
  <si>
    <t>Air cooling, precision AC, economizers, solar hybrid pilots</t>
  </si>
  <si>
    <t>Grid permitting delays, data localization laws, low IXP adoption</t>
  </si>
  <si>
    <t>Ouarzazate solar farm power tie-ins, upcoming submarine cables</t>
  </si>
  <si>
    <t>CNDP law, Arizton, ISOC Pulse, ResearchAndMarkets, Arizton, Wikipedia, Reddit</t>
  </si>
  <si>
    <t>TDM, MOVITEL, Vodacom, mCel, iColo + MozIX</t>
  </si>
  <si>
    <t>Air cooling, precision AC, satellite &amp; fiber backup</t>
  </si>
  <si>
    <t>High cost in rural, limited fixed broadband, periodic outages, low competition</t>
  </si>
  <si>
    <t>1 (Maputo with MozIX)</t>
  </si>
  <si>
    <t>2Africa, EASSy, SEACOM cables; MozIX peering at MPM1; Starlink license active</t>
  </si>
  <si>
    <t>DataReportal, Internet Society Pulse, iColo, TDM wiki, Reuters, Reddit</t>
  </si>
  <si>
    <t>Myintâ€¯&amp;â€¯Associates, True IDC, Myanmar ICT Development, Campana Mythic, ATOM/Telenor, Burst (Tierâ€¯4 expired)</t>
  </si>
  <si>
    <t>Air cooling, precision AC, UPS &amp; generator backup</t>
  </si>
  <si>
    <t>Strict censorship/laws (Cybersecurity Law 2025), power instability, licensing hurdles</t>
  </si>
  <si>
    <t>1 (Yangon DR setups)</t>
  </si>
  <si>
    <t>Submarine cables: SeaMeWeâ€‘3, SEAâ€‘MEâ€‘WEâ€‘5, AAEâ€‘1; national IX (Yangon MMIX); solar/UPS pilots</t>
  </si>
  <si>
    <t>Statista, NetworkWorld, DataCenterMap, Wikipedia, RebootMonkey, Zenlayer, Cybersecurity Law :contentReference[oaicite:1]{index=1}</t>
  </si>
  <si>
    <t>Telecomâ€¯Namibia (iWay), MTC Namibia, Paratus</t>
  </si>
  <si>
    <t>Air cooling, precision AC, UPS/generators, VSAT fallback</t>
  </si>
  <si>
    <t>Grid reliability, high data costs, limited fixed broadband, rural divide</t>
  </si>
  <si>
    <t>1 (Windhoek)</t>
  </si>
  <si>
    <t>WACS, Equiano, multiple domestic fiber, Omburu &amp; Karibib solar, Erongo BESS (&gt;58â€¯MW) pilots</t>
  </si>
  <si>
    <t>DataReportal, Internet Society Pulse, Wikipedia, Theâ€¯Brief, Telecomâ€¯Namibia</t>
  </si>
  <si>
    <t>WorldLink (WordLink), Ncell, Nepal Telecom, DishHome, DataWorld, BLC-Yotta, NEA National Data Centre</t>
  </si>
  <si>
    <t>Air cooling, precision AC, UPS/generators, free cooling pilots</t>
  </si>
  <si>
    <t>Hydropower variability, cyber/data regulations, power outages, licensing hurdles</t>
  </si>
  <si>
    <t>1 (Kathmandu DR setups)</t>
  </si>
  <si>
    <t>Hydro + solar-rich grid, fiber via India/China, 2 IXPs (NPIX), planned subsea; pilot green DC incentives</t>
  </si>
  <si>
    <t>DataPulse, DataCenterDynamo, ISOC Pulse, Nepal Telecom, imRenewable, Statista, Reddit</t>
  </si>
  <si>
    <t>211</t>
  </si>
  <si>
    <t>CDC Data Centres, DCI, Spark Digital, Datacom, Data Centre 220, NextDC (AK1 under development), Localhost, Chorus, Enable Networks, Vocus</t>
  </si>
  <si>
    <t>Air cooling, free cooling, liquid immersion pilots, battery storage support</t>
  </si>
  <si>
    <t>Huge grid pressure (~500â€¯MW in nextâ€¯5â€¯yrs), permitting delays, land/energy cost</t>
  </si>
  <si>
    <t>4+ (Auckland, Wellington, Christchurch, Hamilton)</t>
  </si>
  <si>
    <t>Hydro+wind/solar grid (~85â€¯% renewable), RuakÄkÄ 130â€¯MWâ€¯BESS/solar, Te Waipounamu cable, green hydrogenâ€‘powered AI campus planned</t>
  </si>
  <si>
    <t>DataReportal, ResearchAndMarkets, Mordor, MinterEllison, Reddit, Wikipedia</t>
  </si>
  <si>
    <t>Tigo Business (Millicom), Claro, Movistar, CooTel/Yota Wiâ€‘Fi hotspots</t>
  </si>
  <si>
    <t>Air cooling, inâ€‘row cooling, UPS/gensets, satellite fallback</t>
  </si>
  <si>
    <t>Grid regulatory delays, low fixedâ€‘broadband (~4%), duopoly, rural divide</t>
  </si>
  <si>
    <t>1 (Managua â€“ DR-capable)</t>
  </si>
  <si>
    <t>ARCOSâ€‘1, ENATREL national fiber backbone, planned 5G &amp; rural broadband projects, solar policy support</t>
  </si>
  <si>
    <t>DataReportal, ISOCâ€¯Pulse, DataCenterMap, Statista, Millicom press</t>
  </si>
  <si>
    <t>Air cooling, satellite fallback, basic UPS/gensets</t>
  </si>
  <si>
    <t>Infrastructure cost, limited fixed broadband (~4%), regulatory complexity</t>
  </si>
  <si>
    <t>ACE cable landing via Benin, Starlink licence pending</t>
  </si>
  <si>
    <t>Internet Society Pulse, DataReportal, WeAreTech Niger DC update</t>
  </si>
  <si>
    <t>17</t>
  </si>
  <si>
    <t>137</t>
  </si>
  <si>
    <t>Rack Centre, Equinix (MainOne), Open Access (OADC), Digital Realty, Africa Data Centres, MTN, Airtel Nxtra, Glo, CCHub</t>
  </si>
  <si>
    <t>Air cooling, precision AC, UPS/gensets, VSAT fallback</t>
  </si>
  <si>
    <t>Grid instability, power costs, Right-of-Way taxes, permitting delays, rural divide</t>
  </si>
  <si>
    <t>5+ (Lagos, Abuja, Port Harcourt, Kano, Ibadan)</t>
  </si>
  <si>
    <t>WACS/MAREA/ACE, IXPN exchange, mobile backhaul fiber, Starlink licensed</t>
  </si>
  <si>
    <t>Sources: Connecting Africa, ResearchAndMarkets, Verified Market Research, Wikipedia, Internet Society Pulse</t>
  </si>
  <si>
    <t>Makedonski Telekom, A1, Telekom, Orion Telekom, OneÂ Telecom</t>
  </si>
  <si>
    <t>Air cooling, precision AC, generators, regional free/ambient cooling</t>
  </si>
  <si>
    <t>Grid permitting, limited IXP adoption, ISP market concentration</t>
  </si>
  <si>
    <t>1 (Skopje regional DR)</t>
  </si>
  <si>
    <t>Cross-border fiber via Open Balkan corridors, 1 IXP, improving submarine transit; growing FTTH rollout, solar pilots</t>
  </si>
  <si>
    <t>DataReportal, Internet Society Pulse, Statista, Ookla, Wikipedia</t>
  </si>
  <si>
    <t>26</t>
  </si>
  <si>
    <t>501</t>
  </si>
  <si>
    <t>Green Mountain, Bulk Infrastructure, STACK Infrastructure, Lefdal Mine, Google, Microsoft, Keysource, Namsos DataSenter</t>
  </si>
  <si>
    <t>Air cooling, free/fjord cooling, liquid immersion pilots, heat-recovery to district heating, biomass cogeneration</t>
  </si>
  <si>
    <t>Power-grid constraints, new electricity tax, permitting delays, local planning restrictions</t>
  </si>
  <si>
    <t>6+ (Oslo, Kristiansand, Rjukan, Skien, Trondheim, Stavanger)</t>
  </si>
  <si>
    <t>Renewable grid (98% hydro), North Sea Link + NSEC interconnects, upcoming green hydrogen grid investments, floating offshore wind pilots</t>
  </si>
  <si>
    <t>DataReportal, ResearchAndMarkets, Reuters, Computer Weekly, Statkraft, Mordor Intelligence, CBRE Norway</t>
  </si>
  <si>
    <t>Equinix, Ooredoo, Oman Data Park, Cloud Acropolis, Datamount, Gulf Data Hub</t>
  </si>
  <si>
    <t>Air cooling, water-chillers, CRAC/CRAH, 5â€¯G-ready infrastructure, UPS/generator backup</t>
  </si>
  <si>
    <t>Omantel monopoly, PDPL data compliance, energy cost, land permitting</t>
  </si>
  <si>
    <t>2 (Muscat &amp; Duqm)</t>
  </si>
  <si>
    <t>Omanâ€“Australia subsea cable + 2Africa branch, inland fiber, 5G roll-out</t>
  </si>
  <si>
    <t>Sources: ResearchAndMarkets, Arizton, DataReportal, Wikipedia, Reddit_Oman</t>
  </si>
  <si>
    <t>22</t>
  </si>
  <si>
    <t>1367</t>
  </si>
  <si>
    <t>PTCL, Multinet, Transworld, Zong, Jazz, Rack Centre, MainOne/Equinix, Supernet, PTCL, OADC</t>
  </si>
  <si>
    <t>Air cooling, precision CRAC/CRAH, UPS/gensets, carrier-neutral VXLAN, solar + backup generators</t>
  </si>
  <si>
    <t>Power cost/tariffs, grid unreliability, high diesel usage, complex regulation, licensing hurdles</t>
  </si>
  <si>
    <t>3 (Karachi, Lahore, Islamabad)</t>
  </si>
  <si>
    <t>WACS/SEAâ€‘MEâ€‘WE 3â€“4/ACE/MAREA, national fiber (Matiariâ€‘Lahore HVDC), Starlink licensed</t>
  </si>
  <si>
    <t>Sources: Data Center Map, Statista, Pakistan Crypto Council Initiative, Reuters, NetworkWorld, INP/PITB</t>
  </si>
  <si>
    <t>PNCC (ISPs &amp; backbone)</t>
  </si>
  <si>
    <t>Mobile 4G, VSAT/satellite, upcoming FTTH pilots</t>
  </si>
  <si>
    <t>Single cable vulnerability, high costs, ISP monopoly</t>
  </si>
  <si>
    <t>Echo undersea cable (Q1â€¯2025), one existing cable + satellite backup, FTTH rollout, O-RAN mobile upgrade</t>
  </si>
  <si>
    <t>Internet Society Pulse, DataReportal, ts2.tech, Wikipedia, Reddit</t>
  </si>
  <si>
    <t>Tigo/Ericsson, KIO Networks, Cirion, Telecom Italia Sparkle, Cable &amp; Wireless, Cable Onda, Telecarrier</t>
  </si>
  <si>
    <t>Air cooling, precision CRAC/CRAH, UPS/gensets, free cooling pilots</t>
  </si>
  <si>
    <t>Grid permitting delays, limited local caching/regulation, ISP concentration</t>
  </si>
  <si>
    <t>2 (Panama City primary colos)</t>
  </si>
  <si>
    <t>Multiple submarine cables (ARCOSâ€‘1, PANAMEX, MAYAâ€‘1, AMXâ€‘1), 2 IXPs, renewable/hydro energy linkage</t>
  </si>
  <si>
    <t>Internet Society Pulse, DataReportal, Baxtel, Arizton, Statista, Mordor</t>
  </si>
  <si>
    <t>Digicel PNG, Telikom PNG/Satellite PoPs</t>
  </si>
  <si>
    <t>Mobile 3G/4G, satellite VSAT, basic UPS/generators</t>
  </si>
  <si>
    <t>Infrastructure cost, low electrification (~20%), limited fixed broadband (~0.2%), ISP monopoly</t>
  </si>
  <si>
    <t>0 (No dedicated DR DCs)</t>
  </si>
  <si>
    <t>APNGâ€‘2/PCâ€‘1/SubCom CSÂ² cables; Starlink license granted; 3 IXPs</t>
  </si>
  <si>
    <t>Internet Society Pulse, DataReportal, Statista, CIA Factbook, Ookla</t>
  </si>
  <si>
    <t>Tigo Business (Millicom), IPXON, UfiNet, Centro Nacional de ComputaciÃ³n (CNC)</t>
  </si>
  <si>
    <t>Air cooling, precision CRAC/CRAH, UPS/gensets, carrier-neutral cache nodes</t>
  </si>
  <si>
    <t>Grid permitting delays, ISP monopoly/poor competition, low fixed-broadband (~27%), landlocked challenges</t>
  </si>
  <si>
    <t>2 (AsunciÃ³n primary colos)</t>
  </si>
  <si>
    <t>ARCOSâ€‘1, PANâ€‘AM Cable, MAYAâ€‘1, AMXâ€‘1; 2 IXPs (IXpy + CNC); 82% hydroelectric grid; Starlink active</t>
  </si>
  <si>
    <t>Sources: Internet Society Pulse, DataReportal, Arizton, Wikipedia, DataCenterMap</t>
  </si>
  <si>
    <t>Equinix, Gtd Peru, Nabiax (Actis), Claro, Cirion, Win Empresas, Optical Networks, GTD</t>
  </si>
  <si>
    <t>Grid permitting delays, ISP concentration, limited rural fiber, high energy costs</t>
  </si>
  <si>
    <t>2 (Lima primary colos)</t>
  </si>
  <si>
    <t>SAmâ€‘1, SAC, SPSC/Mistral, FibraOptica al PacÃ­fico; 4+ IXPs; 80% fiber home coverage; rural fiber fund</t>
  </si>
  <si>
    <t>DataReportal, Arizton, ResearchAndMarkets, BusinessWire, Internet Society Pulse, Statista</t>
  </si>
  <si>
    <t>21</t>
  </si>
  <si>
    <t>497</t>
  </si>
  <si>
    <t>ePLDT, YCO Cloud, SpaceDC, Globe+STT GDC, Digital Edge, Converge ICT, PLDT, DITO Labs, QTC, Beeinfotech, Megawide, EdgeConnex-Aboitiz</t>
  </si>
  <si>
    <t>Air cooling, precision CRAC/CRAH, UPS/gensets, liquid cooling pilots, green energy initiatives</t>
  </si>
  <si>
    <t>Grid permitting delays, high power cost, typhoon risk, ISP concentration</t>
  </si>
  <si>
    <t>4 (Metro Manila, Cebu, Clark, Davao)</t>
  </si>
  <si>
    <t>11+ submarine cables (APRICOT, SEA-H2X, Bifrost, PHâ€‘Australia etc.), multiple IXPs, Starlink rapid expansion</t>
  </si>
  <si>
    <t>DataReportal, Arizton, Mordor Intelligence, ASEAN Briefing, Wikipedia, Reddit</t>
  </si>
  <si>
    <t>48</t>
  </si>
  <si>
    <t>Altice Portugal (CovilhÃ£), Equinix, AtlasEdge, Merlin/Edged Energy, NOS Sistemas, Quetta, Templus, Startâ€¯Campus etc.</t>
  </si>
  <si>
    <t>Air cooling, free cooling, liquid immersion pilots, heat recovery, PPA-backed renewables</t>
  </si>
  <si>
    <t>Grid constraints, water use, permitting delays, talent shortage</t>
  </si>
  <si>
    <t>3+ (Lisbon, CovilhÃ£, Sines)</t>
  </si>
  <si>
    <t>Google Nuvem (2026), 2Africa cables, major national fiber routes, 70â€“80% renewable grid</t>
  </si>
  <si>
    <t>DataReportal, Arizton, Cushman &amp; Wakefield, ResearchAndMarkets, Statista, Wikipedia, Reddit</t>
  </si>
  <si>
    <t>13</t>
  </si>
  <si>
    <t>MEEZA, Ooredoo (Mena Digital Hub), Quantum Switch, MEEZA QSTP, Mannai, Gulf Data Hub (new entrant), MEEZA Mâ€‘Vaults</t>
  </si>
  <si>
    <t>Air cooling, precision CRAC/CRAH, UPS &amp; gensets, AI-optimized cooling pilots, NVidia AI hardware integration</t>
  </si>
  <si>
    <t>Grid permitting delays, high-cost power, export licensing for chipsets, talent shortage</t>
  </si>
  <si>
    <t>3 (Doha primary colos)</t>
  </si>
  <si>
    <t>Multiple submarine cables (1Asia, Ooredoo-Qatar, upcoming), 2â€“3 IXPs, national fiber, full 5G rollout</t>
  </si>
  <si>
    <t>DataReportal, Statista, ResearchAndMarkets, FT, TeleReview, Wiki</t>
  </si>
  <si>
    <t>ClusterPower, NXData, GTS, Telekom Romania, Orange Business, M247, Phoenix, CobraNET</t>
  </si>
  <si>
    <t>Air cooling, free cooling via ambient, precision CRAC, generator/UPS backups, heat reuse pilots</t>
  </si>
  <si>
    <t>Grid permitting delays, seismic risk, power grid limits, talent competition</t>
  </si>
  <si>
    <t>5+ (Bucharest, Cluj, Timisoara, Craiova, Sibiu)</t>
  </si>
  <si>
    <t>Diverse subsea/terrestrial fiber (BlackSeaFocs, KAFOS, MEDNAUTILUS, BSFOCS), major IXPs (InterLAN, RoNIX, DEâ€‘CIX), 50%+ renewable grid, EUâ€‘funded digital infrastructure</t>
  </si>
  <si>
    <t>DataCenterMap, DCD, Cushman &amp; Wakefield, Romania Insider, GlobeNewswire, ResearchAndMarkets</t>
  </si>
  <si>
    <t>MTN Rwanda, Airtel Rwanda, Liquid Telecom, RINEX/cache hubs</t>
  </si>
  <si>
    <t>Air cooling, UPS/gensets, satellite/VSAT fallback</t>
  </si>
  <si>
    <t>Grid cost/affordability issues, low rural uptake, limited fixed broadband (~3%), ISP concentration</t>
  </si>
  <si>
    <t>SEACOM via landlink, national fiber (2011), 1 IXP, 5G rollout, planned Ruziziâ€¯III hydro (206â€¯MW)</t>
  </si>
  <si>
    <t>Internet Society Pulse, TechCabal, DataReportal, Statista, Wikipedia</t>
  </si>
  <si>
    <t>Air cooling, UPS/gensets, satellite fallback</t>
  </si>
  <si>
    <t>Grid affordability, rural-limited broadband, ISP duopoly</t>
  </si>
  <si>
    <t>Eastern Caribbean Fiber System, SSCS, Southern Caribbean Fiber, 1 IXP, VSAT backups</t>
  </si>
  <si>
    <t>DataReportal, ISOC Pulse, DCD, SpeedGEO, Wikipedia</t>
  </si>
  <si>
    <t>Government ICT Center (Basseterre) + Flow, CWC, Digicel PoPs</t>
  </si>
  <si>
    <t>Grid affordability issues, ISP duopoly, urbanâ€‘rural connectivity gap</t>
  </si>
  <si>
    <t>Eastern Caribbean Fiber System, SSCS, Southern Caribbean Fiber; 1 IXP; local satellite backup; Starlink trial expansion</t>
  </si>
  <si>
    <t>DataReportal, Internet Society Pulse, ts2.tech, ICTâ€‘Pulse, wiki</t>
  </si>
  <si>
    <t>Government ICT Center + Flow, Digicel PoPs</t>
  </si>
  <si>
    <t>Grid affordability issues, ISP duopoly, rural connectivity gap</t>
  </si>
  <si>
    <t>Eastern Caribbean Fiber System, SSCS, Southern Caribbean Fiber; 1 IXP; VSAT backups</t>
  </si>
  <si>
    <t>DataReportal, Internet Society Pulse, ts2.tech</t>
  </si>
  <si>
    <t>Digicel Samoa, Vodafone Samoa (SLT subsidiary)</t>
  </si>
  <si>
    <t>Air cooling, UPS/gensets, VSAT/satellite fallback</t>
  </si>
  <si>
    <t>High cost, rural coverage issues, ISP duopoly</t>
  </si>
  <si>
    <t>APNGâ€‘2 cable via Fiji; 1 IXP; Starlink available via CSL</t>
  </si>
  <si>
    <t>Internet Society Pulse, DataReportal, TheGlobalEconomy, Reddit</t>
  </si>
  <si>
    <t>Air cooling, precision AC, UPS/gensets, fibreâ€‘fed redundancy</t>
  </si>
  <si>
    <t>Poor ISP competition, limited local caching (32% of top websites)</t>
  </si>
  <si>
    <t>Fibre link to Italy (10â€¯Gbps+), redundant links, 4Gâ€“5G mobile; IPv6 &lt;1%</t>
  </si>
  <si>
    <t>Source: Internet Society Pulse, DataReportal, TIM San Marino Housing</t>
  </si>
  <si>
    <t>Satellite/VSAT, mobile 3G/4G, basic UPS</t>
  </si>
  <si>
    <t>Poor ISP competition, limited caching (42%), internet resilience issues</t>
  </si>
  <si>
    <t>Grid cost, affordability, rural gaps, reliance on ACE cable</t>
  </si>
  <si>
    <t>ACE submarine cable (2012), 1 IXP, &lt;1% IPv6, Starlink trials</t>
  </si>
  <si>
    <t>345</t>
  </si>
  <si>
    <t>Humain (PIF), stc Center3, Mobily, Gulf Data Hub, DataVolt, Equinix, Quantum Switch, NourNet, Sahara Net, Salam (ITC), Tonumus, EDGNEX etc.</t>
  </si>
  <si>
    <t>Air cooling, free/fjord cooling, liquid immersion pilots, AI-optimized cooling, UPS/gensets, heat reuse, solar pilots</t>
  </si>
  <si>
    <t>Grid high load, permitting delays, talent shortage, export controls</t>
  </si>
  <si>
    <t>6+ (Riyadh, Jeddah, Dammam, Alâ€‘Khobar, Alâ€‘Ahsa, Neom)</t>
  </si>
  <si>
    <t>10+ submarine cables, national fiber backbone, 5G comprehensive, multiple IXPs, Green hydrogen &amp; solar linkage</t>
  </si>
  <si>
    <t>Sources: Arizton, Mordor Intelligence, FT, IMARC, Globesw, Wikipedia</t>
  </si>
  <si>
    <t>Tigo/SenConnect (Millicom), Onix Data Centres, Atos Group</t>
  </si>
  <si>
    <t>Air cooling, precision AC, UPS/gensets, carrier-neutral CLS locations</t>
  </si>
  <si>
    <t>Grid permitting delays, urban-rural digital divide, affordability issues</t>
  </si>
  <si>
    <t>1 (Dakar DR class)</t>
  </si>
  <si>
    <t>ACE, MainOne, 2Africa cables; Dakar CLS IXP peering; national fiber network expansion</t>
  </si>
  <si>
    <t>DataReportal, ISOC Pulse, DCD, Onix, Atos</t>
  </si>
  <si>
    <t>Telekom Srbija, SBB, Orion Telekom, Mainstream, BeotelNet, PhoenixNAP, Zenlayer, AltusHost, Atos Group</t>
  </si>
  <si>
    <t>Air cooling, CRAC/CRAH, UPS/gensets, free cooling pilots</t>
  </si>
  <si>
    <t>Grid permitting delays, coal-dependent grid transition, talent competition, GDPR alignment challenges</t>
  </si>
  <si>
    <t>4+ (Belgrade, NiÅ¡, Kragujevac, VrÅ¡ac)</t>
  </si>
  <si>
    <t>Dedicated fiber corridors to Vienna/Budapest/Bucharest, national backbone, SOX IXP, 5G rollout</t>
  </si>
  <si>
    <t>DataReportal, Frontier Compute Partners, Statista, Wikipedia, DatacenterMap</t>
  </si>
  <si>
    <t>Airtel Africa Seychelles, Cable &amp; Wireless Seychelles</t>
  </si>
  <si>
    <t>High bandwidth costs, small market size, limited ISP competition, reliance o</t>
  </si>
  <si>
    <t>Air cooling, UPS/gensets, VSAT/fiber fallback, Starlink</t>
  </si>
  <si>
    <t>High cost/infrastructure poverty, rural coverage gaps, ISP concentration, grid unreliability</t>
  </si>
  <si>
    <t>ACE submarine cable at Freetown; SECOM land-route; national fiber expansion; Starlink approved</t>
  </si>
  <si>
    <t>Internetâ€¯Societyâ€¯Pulse, DataReportalâ€¯2025, DCD, Africell plans, Wikipedia, Reddit</t>
  </si>
  <si>
    <t>DataCube, Perpetuus, Deutsche Telekom, VNET, SITEL, Slovak Telekom</t>
  </si>
  <si>
    <t>Grid permitting delays, reliance on nearby hubs (Prague/Frankfurt), limited domestic hyperscale, telecom competition</t>
  </si>
  <si>
    <t>4 (Bratislava x10, KoÅ¡ice, PreÅ¡ov, BanskÃ¡â€¯Bystrica)</t>
  </si>
  <si>
    <t>Six IXP points (Bratislava &amp; KoÅ¡ice), national fiber rings, peering via Peering.cz &amp; SANET, multiple EU landâ€‘fiber corridors</t>
  </si>
  <si>
    <t>ResearchAndMarkets, Baxtel, DatacenterMap, Wikipedia, Frontier Compute Partners</t>
  </si>
  <si>
    <t>Softnet, Arnes, Telekom Slovenije, IT Tel, Telemach, Posta Slovenije, DataCube, Perpetuus, VNET, SITEL, PhoenixNAP, Zenlayer, AltusHost</t>
  </si>
  <si>
    <t>Grid permitting delays, reliance on nearby hubs (Vienna/Prague), talent competition, GDPR alignment</t>
  </si>
  <si>
    <t>4+ (Ljubljana, Maribor, Koper, Nova Gorica)</t>
  </si>
  <si>
    <t>SIX.SI IXP (2 LOCs)â€”35 members, peak ~180â€¯Gbps; national fiber; Maribor supercomputing/Vega center; FTTP ~76%; 5G rollout</t>
  </si>
  <si>
    <t>DataCenterMap, Statista, Wikipedia, SIX.SI, ReportLinker</t>
  </si>
  <si>
    <t>Air cooling, UPS/gensets, VSAT/satellite backhaul, eCentre cable module</t>
  </si>
  <si>
    <t>Very poor ISP competition, affordability challenges, rural connectivity gaps, limited IPv6 caching</t>
  </si>
  <si>
    <t>Coral Seas (ICN2/CSÂ²) submarine cable, PEACE planning, 1 IXP (Honiara), national fiber extensions, Starlink trials</t>
  </si>
  <si>
    <t>DataReportal, Internet Society Pulse, Solomon Star News, DCD on eCentre</t>
  </si>
  <si>
    <t>Hormuud Telecom, Somtel, Telesom, Golis, Telcom, NationLink</t>
  </si>
  <si>
    <t>Air cooling, UPS/gensets, solar power, carrier-neutral fiber hubs, VSAT/Starlink fallback</t>
  </si>
  <si>
    <t>Grid insecurity, ISP concentration, low resilience (27%), data protection compliance, rural connectivity</t>
  </si>
  <si>
    <t>0 (new Hormuud DR-grade site in Mogadishu)</t>
  </si>
  <si>
    <t>EASSy submarine cable, ACE links via Hormuud, national fiber rollout, Starlink availability, planned 5G expansion</t>
  </si>
  <si>
    <t>DataReportal, Internet Society Pulse, Wikipedia, Garoweâ€¯Online, Bloombergs, DCD, Reddit</t>
  </si>
  <si>
    <t>Air cooling, UPS/gensets, solar-powered towers, VSAT/Starlink fallback, carrier-neutral fibre hub</t>
  </si>
  <si>
    <t>Grid insecurity &amp; cost, poor ISP competition, low resilience (23%), limited data regulation, rural divide</t>
  </si>
  <si>
    <t>EASSy cable via Mogadishu, fiber link from Kenya/Uganda to Juba, national fibre and planned Djibouti link, Starlink &amp; 4G/5G rollout</t>
  </si>
  <si>
    <t>DataReportal, Internet Society Pulse, Eye Radio, Wikipedia</t>
  </si>
  <si>
    <t>Sri Lanka Telecom NDC, Dialog Pilliyandala, OrionStellar (Digital Realty JV), NSB private dc</t>
  </si>
  <si>
    <t>Air cooling, precision CRAC/CRAH, free cooling pilots, upcoming liquid immersion, UPS/gensets</t>
  </si>
  <si>
    <t>Grid permitting delays, ISP monopoly, high energy cost, limited rural fiber</t>
  </si>
  <si>
    <t>1 (colocated DR at Dialog site)</t>
  </si>
  <si>
    <t>Eight submarine cables (SeaMeWeâ€‘3/5, Bharat &amp; others), national fiber, 5G rollout, solar/miniâ€‘hydro energy tieâ€‘ups</t>
  </si>
  <si>
    <t>DataReportal, Statista, NetworkWorld, Wikipedia, OrionStellar, HostAsia, Reddit</t>
  </si>
  <si>
    <t>Sudatel, Zain Sudan, MTN Sudan</t>
  </si>
  <si>
    <t>Air cooling, UPS/gensets, VSAT/Starlink fallback, mobile tower solar backup</t>
  </si>
  <si>
    <t>Grid insecurity &amp; high inflation, expensive tariffs, ruralâ€‘urban digital divide, low caching (1%), regulatory instability</t>
  </si>
  <si>
    <t>0 (singleâ€‘site resilience only)</t>
  </si>
  <si>
    <t>EASSy submarine cable landing, national fiber via Sudatel, mobile 4G/3G (37.7% 4G coverage), Starlink in use</t>
  </si>
  <si>
    <t>DataReportal, Statista, ISOC Pulse, Freedom House, Wikipedia, Reddit</t>
  </si>
  <si>
    <t>Datasur, Telesur, Digicel</t>
  </si>
  <si>
    <t>Air cooling, UPS/N+1 generators, HVAC, fire suppression/argon systems, redundant cabling</t>
  </si>
  <si>
    <t>Power cost and reliability, ISP monopoly, limited fiber reach outside Paramaribo, slow fixed broadband speeds</t>
  </si>
  <si>
    <t>0 (single site backup via redundant systems)</t>
  </si>
  <si>
    <t>Single submarine fiber (to Brazil), national fiber expansions (70% OTN), 5G LTE, Starlink used unofficially</t>
  </si>
  <si>
    <t>DataReportal, Datasur, ISOC Pulse, Wikipedia, Reddit</t>
  </si>
  <si>
    <t>Power cost and reliability, ISP monopoly, limited fiber reach outside Damascus, slow fixed broadband speeds</t>
  </si>
  <si>
    <t>Single submarine fiber (to Cyprus and Italy via Egypt), national fiber expansions (70% OTN), 5G LTE, Starlink used unofficially</t>
  </si>
  <si>
    <t>DataReportal, Wafa Telecom, ISOC Pulse, Wikipedia, Reddit</t>
  </si>
  <si>
    <t>TT-Mobile, Babilon-T, MegaFon</t>
  </si>
  <si>
    <t>Power cost and reliability, ISP monopoly, limited fiber reach outside Dushanbe, slow fixed broadband speeds</t>
  </si>
  <si>
    <t>Single submarine fiber (to Kazakhstan and China), national fiber expansions (70% OTN), 4G LTE, Starlink used unofficially</t>
  </si>
  <si>
    <t>DataReportal, Statista, ISOC Pulse, Wikipedia, Reddit</t>
  </si>
  <si>
    <t>Power cost and reliability, ISP monopoly, limited fiber reach outside Dar es Salaam, slow fixed broadband speeds</t>
  </si>
  <si>
    <t>Multiple submarine cables (EASSy, DARE), national fiber expansions (93% 4G coverage), 5G LTE, Starlink used unofficially</t>
  </si>
  <si>
    <t>Power cost and reliability, ISP monopoly, limited fiber reach outside Dili, slow fixed broadband speeds</t>
  </si>
  <si>
    <t>Single submarine fiber (to Darwin, Australia via TLSSC), national fiber expansions (70% OTN), 5G LTE, Starlink used unofficially</t>
  </si>
  <si>
    <t>DataReportal, SACOMTEL, ISOC Pulse, Wikipedia, Reddit</t>
  </si>
  <si>
    <t>Equiano (Google), WACS (Maroc Telecom)</t>
  </si>
  <si>
    <t>Power cost and reliability, ISP monopoly, limited fiber reach outside LomÃ©, slow fixed broadband speeds</t>
  </si>
  <si>
    <t>Multiple submarine cables (Equiano, WACS), national fiber expansions (70% OTN), 4G LTE, Starlink used unofficially</t>
  </si>
  <si>
    <t>DataReportal, Togo First, ISOC Pulse, Wikipedia, Reddit</t>
  </si>
  <si>
    <t>Tonga Cable Limited, Digicel Tonga, TCC (Kacific partner)</t>
  </si>
  <si>
    <t>Air cooling, UPS/gensets, VSAT/Starlink backup, cable landing eCentre module</t>
  </si>
  <si>
    <t>Grid vulnerability to cable-breaks, ISP duopoly, low resilience (30%), limited local caching (1%)</t>
  </si>
  <si>
    <t>0 (single eCentre with mobile backup)</t>
  </si>
  <si>
    <t>Single 827â€¯km Tongaâ€“Fiji submarine cable; domestic extension to HaÊ»apai/VavaÊ»u; national fibre loops; 95% 4G coverage; Starlink and Kacific satellite backup trial</t>
  </si>
  <si>
    <t>DataReportal, ISOC Pulse, DCD, Wikipedia, Guardian, Reddit</t>
  </si>
  <si>
    <t>Amplia (bmobile), Air Link Networks, Columbus/Flow, TSTT/Bmobile, Massyâ€‘AMPLIA</t>
  </si>
  <si>
    <t>Air cooling, precision CRAC, UPS/gensets, HFC &amp; fiber backbone redundancy</t>
  </si>
  <si>
    <t>Grid cost/income affordability, ISP duopoly, limited upstream diversity, low caching (28%)</t>
  </si>
  <si>
    <t>0 (all inâ€‘island resilience only)</t>
  </si>
  <si>
    <t>Five submarine cables (Americas-II, ECFiber, Southern Caribbean, Deep Blue One, Surinameâ€“Guyana); 2 IXPs; national fiber + HFC; 95% 4G, VoLTE, early 5G; Starlink trials</t>
  </si>
  <si>
    <t>DataReportal, ISOC Pulse, GSMA, Wikipedia, Newsday, Reddit</t>
  </si>
  <si>
    <t>Orange Tunisia, Tunisie Telecom (Topnet), Ooredoo Tunisia, HexaByte, GlobalNet, 3S GlobalNet</t>
  </si>
  <si>
    <t>Air cooling, precision CRAC/CRAH, UPS/gensets, free cooling, power redundancy pilots</t>
  </si>
  <si>
    <t>Grid permitting delays, VDSL2 legacy, ISP monopoly (Topnet/Tunisie Telecom), need massive FTTH upgrades, slow rural connection</t>
  </si>
  <si>
    <t>2+ (Tunis, Sousse, Sfax)</t>
  </si>
  <si>
    <t>6 submarine cables including Ifriqiya (PEACE), Medusa (by endâ€¯2024), others to Italy/Egypt; national fiber backbone &amp; FTTH pilot (22 projects); early 5G rollout; IPv6 adoption ~20%</t>
  </si>
  <si>
    <t>DataReportal, Statista, Wikipedia, DCD, ts2.tech, Reidits</t>
  </si>
  <si>
    <t>Turkcell, Turk Telekom, Vodafone Turkey, Equinix, EdgeConneX, EDGNEX, Compass Data Centre, Radore, PlusLayer, Netdirekt, Telehouse</t>
  </si>
  <si>
    <t>Air cooling, precision CRAC/CRAH, freeâ€‘cooling, wasteâ€‘heat capture pilots, UPS/gensets, emerging liquid immersion/Gridâ€‘PPA renewables</t>
  </si>
  <si>
    <t>Grid permitting delays, earthquake risk, currencyâ€‘insulated power costs, telecom competition, GDPR alignment</t>
  </si>
  <si>
    <t>6+ (Istanbul, Ankara, Izmir, Bursa, TekirdaÄŸ, Antalya)</t>
  </si>
  <si>
    <t>Six+ submarine cables (SEAâ€‘MEâ€‘WEâ€¯3/4/5, Medâ€‘Med, Marmara?), multiple IXPs (Ä°stanbulâ€‘IX, Egeâ€‘IX, Ankaraâ€‘IX), national fiber backbone, full 5G rollout, smartâ€‘city fiber grids, redundancy paths</t>
  </si>
  <si>
    <t>DataReportal, ResearchAndMarkets, Statista, Wikipedia, Reddit, Wikipedia electricity</t>
  </si>
  <si>
    <t>Turkmentelecom (incl. Altyn Asyr, ASTU), no private colos</t>
  </si>
  <si>
    <t>Air cooling, UPS/gensets, satellite/VSAT fallback, containerized colocation module</t>
  </si>
  <si>
    <t>Grid censorship, monopoly ISP, low IPv6, poor resilience (31%), restricted sites, lack of private investment</t>
  </si>
  <si>
    <t>0 (single site in Ashgabat)</t>
  </si>
  <si>
    <t>Single fiber via Transit-Asia-Europe, no submarine cable; national fiber network; 82% 4G LTE/Arkadag 5G trials; Starlink limited trials</t>
  </si>
  <si>
    <t>DataReportal, ISOC Pulse, Wikipedia, Reddit insights</t>
  </si>
  <si>
    <t>MTN Uganda, Airtel Uganda, UTel/UTCL, Roke Telkom (Raxio upcoming DC), Smile Telecom</t>
  </si>
  <si>
    <t>Air cooling, UPS/gensets, VSAT/satellite backhaul, compact containerized eCentre</t>
  </si>
  <si>
    <t>Grid vulnerability to cable loss, ISP monopoly, high cost, low caching (~1%), limited IPv6 adoption</t>
  </si>
  <si>
    <t>Tuvalu Vaka submarine cable inbound early 2026; national fibre rings; 95% 4G LTE via Kacific satellite backhaul; Starlink available via TTC; ongoing digital-nation initiatives</t>
  </si>
  <si>
    <t>DataReportal, ISOC Pulse, AIFFP, Wikipedia, Reddit</t>
  </si>
  <si>
    <t>Air cooling, precision CRAC, UPS/gensets, solar-powered towers, carrier-neutral fibre, VSAT/Starlink fallback</t>
  </si>
  <si>
    <t>Grid cost and affordability (VAT 18% + excise), ISP oligopoly, limited fixedâ€‘fiber outside urban areas, intermittent outages due to regulation/interference</t>
  </si>
  <si>
    <t>1 (Raxio DC under construction in Namanve industrial park with DR design)</t>
  </si>
  <si>
    <t>EASSy submarine cable landing at Mombasaâ€“Kenya route, national fibre backbone via UTL &amp; Roke, 4G (~43%), 3G (~88%), early-stage 5G trials, Starlink access emerging</t>
  </si>
  <si>
    <t>DataReportal, UCC press, MTN/Wikipedia, Statista, ISOC Pulse, wikipedia</t>
  </si>
  <si>
    <t>55</t>
  </si>
  <si>
    <t>Ukrtelecom, Kyivstar, Vodafone Ukraine, Lifecell, De Novo, BeMobile, Parkovyi, Tucha, Cosmonova, Zenlayer, NewTelco</t>
  </si>
  <si>
    <t>Air cooling, precision CRAC/CRAH, UPS/gensets, UPS+backup power banks for home routers, free cooling pilots</t>
  </si>
  <si>
    <t>Grid disruption from conflict, power shortages, permitting delays, cybersecurity, GDPR alignment</t>
  </si>
  <si>
    <t>â‰¤6 major metro DR clusters (Kyiv, Kharkiv, Odesa, Lviv, Dnipro, Vinnytsia)</t>
  </si>
  <si>
    <t>EASSy + Italy/Turkey cables, 55 DCs, 24 IXPs, expanding fiber/GPON (70%+), 94%â€¯4G, 10%â€¯5G by 2025, Starlink &amp; Satcube backup widely used</t>
  </si>
  <si>
    <t>DataReportal, ISOC Pulse, Statista, Wikipedia, Reddit</t>
  </si>
  <si>
    <t>Global players: e&amp; (Etisalat), du, Equinix, Khazna, Injazat, Gulf Data Hub, Datamena, DC Vaults; Telecoms in-house labs</t>
  </si>
  <si>
    <t>Air cooling, precision CRAC/CRAH, free cooling, immersion pilots, UPS/battery systems, solar PPAs, heat reuse</t>
  </si>
  <si>
    <t>Grid permitting, high energy consumption, seismic risk in Fujairah, Telecom competition, data-sovereignty laws</t>
  </si>
  <si>
    <t>6+ (Dubai, Abu Dhabi, Fujairah, Sharjah, Ajman, Ras alâ€¯Khaimah)</t>
  </si>
  <si>
    <t>Dubai-IX, AbuDz-IX, Alfa-IX (Sharjah), Weihua-IX, national fiber backbone metro; six+ submarine cables (SEA-ME-WEâ€¯3/4/5, Medusa, EJ-Middle East); full 5G coverage; smart city grids; Starlink backup; Masdar City green campus</t>
  </si>
  <si>
    <t>DataReportal, ResearchAndMarkets, MordorIntelligence, AWS blog, Wikipedia, Reuters</t>
  </si>
  <si>
    <t>DATACENTER UY, Antel, Millicom/Claro, Telesur, IBM Uruguay, Equinix partner hubs, UTEcolocation, Huawei edge</t>
  </si>
  <si>
    <t>Air cooling, precision CRAC, UPS/gensets, free cooling pilots, hydroelectric green energy tie-ins, UPS-backed FTTH households</t>
  </si>
  <si>
    <t>Grid permitting delays, ISP monopoly (Antel), rural broadband gap, earthquake risk low caching (63%)</t>
  </si>
  <si>
    <t>2+ metro clusters (Montevideo with DR, Punta del Este)</t>
  </si>
  <si>
    <t>Firmina and Monetâ€‘Tannat cables linking USA &amp; Brazil; UNBN national fiber (FTTH ~81%, rural rollout underway); 100% 4G, ~16% 5G; IPv6 ~57%; Starlink available</t>
  </si>
  <si>
    <t>DataReportal, ISOC Pulse, Trade.gov, Statista, NetMap, Wikipedia, Reddit</t>
  </si>
  <si>
    <t>Uztelecom, Ucell, Mobiuz, Beeline Uzbekistan, ITIâ€‘IX/Metrotelecom, carrier-neutral colos emerging</t>
  </si>
  <si>
    <t>Tierâ€‘III ISP/dataâ€‘hub rollouts; some Tierâ€‘IV planning</t>
  </si>
  <si>
    <t>Air cooling, UPS/gensets, precision CRAC in top colos, emerging freeâ€‘cooling pilots</t>
  </si>
  <si>
    <t>Grid permitting, ruralâ€‘urban divide, Uztelecom monopoly, censorship, FTTB lag outside Tashkent</t>
  </si>
  <si>
    <t>3 (Tashkent DR clusters)</t>
  </si>
  <si>
    <t>Landlocked fiber via Digital Silk Way + Transâ€‘Caspian to Azerbaijan; national fiber network (227kâ€¯km); 100% 4G/3G, early 5G in Tashkent; extensive solar PV integration</t>
  </si>
  <si>
    <t>Tuvalu Telecommunications Corp (TTC), Pacific Networks/Vodafone, Digicel, Cetelnet</t>
  </si>
  <si>
    <t>Air cooling, UPS/gensets, VSAT/Kacific/Starlink backup, containerized eCentre modules</t>
  </si>
  <si>
    <t>Grid vulnerability to cable-breaks, ISP duopoly, high cost, low caching (~1%), limited IPv6</t>
  </si>
  <si>
    <t>0 (single main site in Port Vila)</t>
  </si>
  <si>
    <t>Interchange ICN1 &amp; ICN2 cables to Fiji/Solomon Islands, national fibre rings to outer islands, 5G broadband trials (Wave &amp; 3â€¯Link), Kacific and Starlink satellite services</t>
  </si>
  <si>
    <t>DataReportal, ISOC Pulse, Interchange, DCD, Wikipedia, Reddit</t>
  </si>
  <si>
    <t>CANTV, Movistar, Digitel, Inter, NetUno, SuperCable</t>
  </si>
  <si>
    <t>Air cooling, UPS/gensets, precision AC in modern colos, backup generators, satellite fallback</t>
  </si>
  <si>
    <t>Grid collapse &amp; hyperinflation, power blackouts, ISP monopolies, currency controls, rural coverage gaps</t>
  </si>
  <si>
    <t>1 (modern DR-capable colo in Caracas)</t>
  </si>
  <si>
    <t>Submarine cables (GlobeNet landing at MaiquetÃ­a), domestic interurban fiber, Intelsat/PanAmSat satellite, improving fiber-optic deals, Starlink/VSAT fallback</t>
  </si>
  <si>
    <t>DataReportal, Wikipedia, GlobeNet submarine operations, ISOC Pulse, Reddit</t>
  </si>
  <si>
    <t>145</t>
  </si>
  <si>
    <t>Viettel IDC, VNPT, FPT Telecom, CMC Telecom, VNG Cloud, Edge Centres, Data Center First, NTT, STT GDC, Telehouse</t>
  </si>
  <si>
    <t>Air cooling, precision CRAC/CRAH, UPS/gensets, free cooling pilots, AI/immersion-led designs, solar PPA pilots</t>
  </si>
  <si>
    <t>Grid permitting delays, ruralâ€‘urban digital divide, dataâ€‘localisation law, telecom/state dominance, censorship</t>
  </si>
  <si>
    <t>3+ (Hanoi, Ho Chi Minh City, Da Nang)</t>
  </si>
  <si>
    <t>Five submarine cables (APG, AAG, IA, SMW3/4), national fiber (227â€¯k km), two IXP hubs, 100% 4G/3G, 5G trial in urban areas, Starlink pilot program</t>
  </si>
  <si>
    <t>DataReportal, Tuoi Tre, Arizton, ISOC Pulse, Vietnam Briefing, Wikipedia, Reddit</t>
  </si>
  <si>
    <t>No AWS/Azure/GCP region (cache/CDN labs only)</t>
  </si>
  <si>
    <t>Air cooling, UPS/gensets, VSAT/Starlink backup, Satcube backup</t>
  </si>
  <si>
    <t>Grid insecurity &amp; airstrike risk, ISP monopoly, censorship, low IPv6 (1%), internet blackouts (~January 2022)</t>
  </si>
  <si>
    <t>AAEâ€‘1 cable landing at Aden, SEAâ€‘MEâ€‘WEâ€‘5 via Hudaydah, land fiber via YemenTel, GSM 4G from providers, Starlink uptake 28% market share, satellite/fiber fallback</t>
  </si>
  <si>
    <t>DataReportal, ISOCâ€¯Pulse, Wikipedia, DataCenterJournal, Reddit</t>
  </si>
  <si>
    <t>Airtel Zambia, MTN Zambia, Zamtel, Liquid Telecom (planned Raxio edge node)</t>
  </si>
  <si>
    <t>Air cooling, UPS/gensets, VSAT/Starlink fallback, carrier-neutral edge modules</t>
  </si>
  <si>
    <t>Grid cost &amp; affordability, load shedding, ISP oligopoly, rural/urban coverage gaps, low local caching (~5%)</t>
  </si>
  <si>
    <t>0 (single edge sites, no formal DR)</t>
  </si>
  <si>
    <t>EASSy via Mombasa terrestrial to Zambia, national fiber expansion (ZICTA-regulated), 100% 3G/4G coverage, nascent 5G trials, Starlink increasing in Lusaka and farms</t>
  </si>
  <si>
    <t>Air cooling, UPS/gensets, precision AC, satellite/Starlink backup</t>
  </si>
  <si>
    <t>High internet cost, limited fixed broadband (7.3%), ISP oligopoly, low resilience (32%), high inflation, infrastructure theft</t>
  </si>
  <si>
    <t>GlobeNet submarine cable landing MaiquetÃ­a route, national fibre backbone (TelOne NBB project), EASSy backâ€‘haul via land; mobile 4G (~82%), 5G trials by NetOne &amp; Econet, Starlink licensed Mayâ€¯2024</t>
  </si>
  <si>
    <t>DataReportal, ISOCÂ Pulse, Statista, DCD, TelOne Wikis, Reuters, Reddit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</si>
</sst>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2"/>
      <color theme="1" tint="4.9989318521683403E-2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13" fillId="33" borderId="10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13" fillId="33" borderId="12" xfId="0" applyFont="1" applyFill="1" applyBorder="1" applyAlignment="1">
      <alignment horizontal="center"/>
    </xf>
    <xf numFmtId="0" fontId="13" fillId="33" borderId="12" xfId="0" applyFont="1" applyFill="1" applyBorder="1"/>
    <xf numFmtId="0" fontId="20" fillId="34" borderId="0" xfId="0" applyFont="1" applyFill="1"/>
    <xf numFmtId="0" fontId="16" fillId="34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13" fillId="9" borderId="0" xfId="18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'\OneDrive\Desktop\Project\Project%201-%20Data%20Center\Data\Excel_Files\Datasets\political-stability-by-country-2025.xlsx" TargetMode="External"/><Relationship Id="rId1" Type="http://schemas.openxmlformats.org/officeDocument/2006/relationships/externalLinkPath" Target="Datasets/political-stability-by-country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tcal Stablity"/>
      <sheetName val="Upcoming Project"/>
    </sheetNames>
    <sheetDataSet>
      <sheetData sheetId="0">
        <row r="2">
          <cell r="A2" t="str">
            <v>Cayman Islands</v>
          </cell>
          <cell r="B2">
            <v>1.63</v>
          </cell>
          <cell r="C2">
            <v>99.5</v>
          </cell>
        </row>
        <row r="3">
          <cell r="A3" t="str">
            <v>Liechtenstein</v>
          </cell>
          <cell r="B3">
            <v>1.61</v>
          </cell>
          <cell r="C3">
            <v>99.1</v>
          </cell>
        </row>
        <row r="4">
          <cell r="A4" t="str">
            <v>Andorra</v>
          </cell>
          <cell r="B4">
            <v>1.58</v>
          </cell>
          <cell r="C4">
            <v>98.6</v>
          </cell>
        </row>
        <row r="5">
          <cell r="A5" t="str">
            <v>Greenland</v>
          </cell>
          <cell r="B5">
            <v>1.5</v>
          </cell>
          <cell r="C5">
            <v>98.1</v>
          </cell>
        </row>
        <row r="6">
          <cell r="A6" t="str">
            <v>Aruba</v>
          </cell>
          <cell r="B6">
            <v>1.43</v>
          </cell>
          <cell r="C6">
            <v>97.6</v>
          </cell>
        </row>
        <row r="7">
          <cell r="A7" t="str">
            <v>Singapore</v>
          </cell>
          <cell r="B7">
            <v>1.42</v>
          </cell>
          <cell r="C7">
            <v>97.2</v>
          </cell>
        </row>
        <row r="8">
          <cell r="A8" t="str">
            <v>Brunei</v>
          </cell>
          <cell r="B8">
            <v>1.37</v>
          </cell>
          <cell r="C8">
            <v>96.7</v>
          </cell>
        </row>
        <row r="9">
          <cell r="A9" t="str">
            <v>New Zealand</v>
          </cell>
          <cell r="B9">
            <v>1.36</v>
          </cell>
          <cell r="C9">
            <v>96.2</v>
          </cell>
        </row>
        <row r="10">
          <cell r="A10" t="str">
            <v>Dominica</v>
          </cell>
          <cell r="B10">
            <v>1.29</v>
          </cell>
          <cell r="C10">
            <v>95.7</v>
          </cell>
        </row>
        <row r="11">
          <cell r="A11" t="str">
            <v>Iceland</v>
          </cell>
          <cell r="B11">
            <v>1.21</v>
          </cell>
          <cell r="C11">
            <v>95.3</v>
          </cell>
        </row>
        <row r="12">
          <cell r="A12" t="str">
            <v>Cook Islands</v>
          </cell>
          <cell r="B12">
            <v>1.2</v>
          </cell>
          <cell r="C12">
            <v>94.8</v>
          </cell>
        </row>
        <row r="13">
          <cell r="A13" t="str">
            <v>Barbados</v>
          </cell>
          <cell r="B13">
            <v>1.19</v>
          </cell>
          <cell r="C13">
            <v>93.8</v>
          </cell>
        </row>
        <row r="14">
          <cell r="A14" t="str">
            <v>Tuvalu</v>
          </cell>
          <cell r="B14">
            <v>1.19</v>
          </cell>
          <cell r="C14">
            <v>94.3</v>
          </cell>
        </row>
        <row r="15">
          <cell r="A15" t="str">
            <v>Monaco</v>
          </cell>
          <cell r="B15">
            <v>1.18</v>
          </cell>
          <cell r="C15">
            <v>93.4</v>
          </cell>
        </row>
        <row r="16">
          <cell r="A16" t="str">
            <v>Marshall Islands</v>
          </cell>
          <cell r="B16">
            <v>1.18</v>
          </cell>
          <cell r="C16">
            <v>93.4</v>
          </cell>
        </row>
        <row r="17">
          <cell r="A17" t="str">
            <v>San Marino</v>
          </cell>
          <cell r="B17">
            <v>1.18</v>
          </cell>
          <cell r="C17">
            <v>93.4</v>
          </cell>
        </row>
        <row r="18">
          <cell r="A18" t="str">
            <v>American Samoa</v>
          </cell>
          <cell r="B18">
            <v>1.1100000000000001</v>
          </cell>
          <cell r="C18">
            <v>91.9</v>
          </cell>
        </row>
        <row r="19">
          <cell r="A19" t="str">
            <v>Anguilla</v>
          </cell>
          <cell r="B19">
            <v>1.1100000000000001</v>
          </cell>
          <cell r="C19">
            <v>91.9</v>
          </cell>
        </row>
        <row r="20">
          <cell r="A20" t="str">
            <v>Samoa</v>
          </cell>
          <cell r="B20">
            <v>1.1000000000000001</v>
          </cell>
          <cell r="C20">
            <v>90.5</v>
          </cell>
        </row>
        <row r="21">
          <cell r="A21" t="str">
            <v>Kiribati</v>
          </cell>
          <cell r="B21">
            <v>1.1000000000000001</v>
          </cell>
          <cell r="C21">
            <v>91</v>
          </cell>
        </row>
        <row r="22">
          <cell r="A22" t="str">
            <v>Tonga</v>
          </cell>
          <cell r="B22">
            <v>1.0900000000000001</v>
          </cell>
          <cell r="C22">
            <v>90</v>
          </cell>
        </row>
        <row r="23">
          <cell r="A23" t="str">
            <v>Micronesia</v>
          </cell>
          <cell r="B23">
            <v>1.08</v>
          </cell>
          <cell r="C23">
            <v>89.6</v>
          </cell>
        </row>
        <row r="24">
          <cell r="A24" t="str">
            <v>Palau</v>
          </cell>
          <cell r="B24">
            <v>1.08</v>
          </cell>
          <cell r="C24">
            <v>89.6</v>
          </cell>
        </row>
        <row r="25">
          <cell r="A25" t="str">
            <v>Switzerland</v>
          </cell>
          <cell r="B25">
            <v>1.07</v>
          </cell>
          <cell r="C25">
            <v>88.6</v>
          </cell>
        </row>
        <row r="26">
          <cell r="A26" t="str">
            <v>Macau</v>
          </cell>
          <cell r="B26">
            <v>1.07</v>
          </cell>
          <cell r="C26">
            <v>88.2</v>
          </cell>
        </row>
        <row r="27">
          <cell r="A27" t="str">
            <v>Luxembourg</v>
          </cell>
          <cell r="B27">
            <v>1.05</v>
          </cell>
          <cell r="C27">
            <v>87.7</v>
          </cell>
        </row>
        <row r="28">
          <cell r="A28" t="str">
            <v>Botswana</v>
          </cell>
          <cell r="B28">
            <v>1.04</v>
          </cell>
          <cell r="C28">
            <v>87.2</v>
          </cell>
        </row>
        <row r="29">
          <cell r="A29" t="str">
            <v>Grenada</v>
          </cell>
          <cell r="B29">
            <v>1.02</v>
          </cell>
          <cell r="C29">
            <v>86.3</v>
          </cell>
        </row>
        <row r="30">
          <cell r="A30" t="str">
            <v>Saint Vincent and the Grenadines</v>
          </cell>
          <cell r="B30">
            <v>1.02</v>
          </cell>
          <cell r="C30">
            <v>86.3</v>
          </cell>
        </row>
        <row r="31">
          <cell r="A31" t="str">
            <v>Bermuda</v>
          </cell>
          <cell r="B31">
            <v>1.02</v>
          </cell>
          <cell r="C31">
            <v>86.7</v>
          </cell>
        </row>
        <row r="32">
          <cell r="A32" t="str">
            <v>Bahamas</v>
          </cell>
          <cell r="B32">
            <v>1.01</v>
          </cell>
          <cell r="C32">
            <v>84.8</v>
          </cell>
        </row>
        <row r="33">
          <cell r="A33" t="str">
            <v>Qatar</v>
          </cell>
          <cell r="B33">
            <v>0.99</v>
          </cell>
          <cell r="C33">
            <v>84.4</v>
          </cell>
        </row>
        <row r="34">
          <cell r="A34" t="str">
            <v>Costa Rica</v>
          </cell>
          <cell r="B34">
            <v>0.98</v>
          </cell>
          <cell r="C34">
            <v>83.9</v>
          </cell>
        </row>
        <row r="35">
          <cell r="A35" t="str">
            <v>Bhutan</v>
          </cell>
          <cell r="B35">
            <v>0.98</v>
          </cell>
          <cell r="C35">
            <v>83.4</v>
          </cell>
        </row>
        <row r="36">
          <cell r="A36" t="str">
            <v>Nauru</v>
          </cell>
          <cell r="B36">
            <v>0.98</v>
          </cell>
          <cell r="C36">
            <v>82.9</v>
          </cell>
        </row>
        <row r="37">
          <cell r="A37" t="str">
            <v>Czechia</v>
          </cell>
          <cell r="B37">
            <v>0.97</v>
          </cell>
          <cell r="C37">
            <v>82.5</v>
          </cell>
        </row>
        <row r="38">
          <cell r="A38" t="str">
            <v>Uruguay</v>
          </cell>
          <cell r="B38">
            <v>0.96</v>
          </cell>
          <cell r="C38">
            <v>82</v>
          </cell>
        </row>
        <row r="39">
          <cell r="A39" t="str">
            <v>Japan</v>
          </cell>
          <cell r="B39">
            <v>0.95</v>
          </cell>
          <cell r="C39">
            <v>81.5</v>
          </cell>
        </row>
        <row r="40">
          <cell r="A40" t="str">
            <v>Vanuatu</v>
          </cell>
          <cell r="B40">
            <v>0.93</v>
          </cell>
          <cell r="C40">
            <v>81</v>
          </cell>
        </row>
        <row r="41">
          <cell r="A41" t="str">
            <v>Australia</v>
          </cell>
          <cell r="B41">
            <v>0.92</v>
          </cell>
          <cell r="C41">
            <v>79.599999999999994</v>
          </cell>
        </row>
        <row r="42">
          <cell r="A42" t="str">
            <v>Antigua and Barbuda</v>
          </cell>
          <cell r="B42">
            <v>0.92</v>
          </cell>
          <cell r="C42">
            <v>80.599999999999994</v>
          </cell>
        </row>
        <row r="43">
          <cell r="A43" t="str">
            <v>Saint Kitts and Nevis</v>
          </cell>
          <cell r="B43">
            <v>0.92</v>
          </cell>
          <cell r="C43">
            <v>80.599999999999994</v>
          </cell>
        </row>
        <row r="44">
          <cell r="A44" t="str">
            <v>Ireland</v>
          </cell>
          <cell r="B44">
            <v>0.9</v>
          </cell>
          <cell r="C44">
            <v>78.7</v>
          </cell>
        </row>
        <row r="45">
          <cell r="A45" t="str">
            <v>Cape Verde</v>
          </cell>
          <cell r="B45">
            <v>0.9</v>
          </cell>
          <cell r="C45">
            <v>79.099999999999994</v>
          </cell>
        </row>
        <row r="46">
          <cell r="A46" t="str">
            <v>Norway</v>
          </cell>
          <cell r="B46">
            <v>0.89</v>
          </cell>
          <cell r="C46">
            <v>77.7</v>
          </cell>
        </row>
        <row r="47">
          <cell r="A47" t="str">
            <v>Guam</v>
          </cell>
          <cell r="B47">
            <v>0.89</v>
          </cell>
          <cell r="C47">
            <v>78.2</v>
          </cell>
        </row>
        <row r="48">
          <cell r="A48" t="str">
            <v>Saint Lucia</v>
          </cell>
          <cell r="B48">
            <v>0.87</v>
          </cell>
          <cell r="C48">
            <v>77.8</v>
          </cell>
        </row>
        <row r="49">
          <cell r="A49" t="str">
            <v>Malta</v>
          </cell>
          <cell r="B49">
            <v>0.86</v>
          </cell>
          <cell r="C49">
            <v>77.3</v>
          </cell>
        </row>
        <row r="50">
          <cell r="A50" t="str">
            <v>Denmark</v>
          </cell>
          <cell r="B50">
            <v>0.85</v>
          </cell>
          <cell r="C50">
            <v>76.8</v>
          </cell>
        </row>
        <row r="51">
          <cell r="A51" t="str">
            <v>Canada</v>
          </cell>
          <cell r="B51">
            <v>0.82</v>
          </cell>
          <cell r="C51">
            <v>76.3</v>
          </cell>
        </row>
        <row r="52">
          <cell r="A52" t="str">
            <v>Slovenia</v>
          </cell>
          <cell r="B52">
            <v>0.82</v>
          </cell>
          <cell r="C52">
            <v>75.8</v>
          </cell>
        </row>
        <row r="53">
          <cell r="A53" t="str">
            <v>Laos</v>
          </cell>
          <cell r="B53">
            <v>0.81</v>
          </cell>
          <cell r="C53">
            <v>75.400000000000006</v>
          </cell>
        </row>
        <row r="54">
          <cell r="A54" t="str">
            <v>Mauritius</v>
          </cell>
          <cell r="B54">
            <v>0.78</v>
          </cell>
          <cell r="C54">
            <v>74.900000000000006</v>
          </cell>
        </row>
        <row r="55">
          <cell r="A55" t="str">
            <v>Taiwan</v>
          </cell>
          <cell r="B55">
            <v>0.76</v>
          </cell>
          <cell r="C55">
            <v>74.400000000000006</v>
          </cell>
        </row>
        <row r="56">
          <cell r="A56" t="str">
            <v>Sweden</v>
          </cell>
          <cell r="B56">
            <v>0.76</v>
          </cell>
          <cell r="C56">
            <v>73.5</v>
          </cell>
        </row>
        <row r="57">
          <cell r="A57" t="str">
            <v>Seychelles</v>
          </cell>
          <cell r="B57">
            <v>0.76</v>
          </cell>
          <cell r="C57">
            <v>73.900000000000006</v>
          </cell>
        </row>
        <row r="58">
          <cell r="A58" t="str">
            <v>Lithuania</v>
          </cell>
          <cell r="B58">
            <v>0.74</v>
          </cell>
          <cell r="C58">
            <v>72.5</v>
          </cell>
        </row>
        <row r="59">
          <cell r="A59" t="str">
            <v>Fiji</v>
          </cell>
          <cell r="B59">
            <v>0.74</v>
          </cell>
          <cell r="C59">
            <v>73</v>
          </cell>
        </row>
        <row r="60">
          <cell r="A60" t="str">
            <v>Hungary</v>
          </cell>
          <cell r="B60">
            <v>0.73</v>
          </cell>
          <cell r="C60">
            <v>72</v>
          </cell>
        </row>
        <row r="61">
          <cell r="A61" t="str">
            <v>Austria</v>
          </cell>
          <cell r="B61">
            <v>0.73</v>
          </cell>
          <cell r="C61">
            <v>71.599999999999994</v>
          </cell>
        </row>
        <row r="62">
          <cell r="A62" t="str">
            <v>Portugal</v>
          </cell>
          <cell r="B62">
            <v>0.71</v>
          </cell>
          <cell r="C62">
            <v>70.599999999999994</v>
          </cell>
        </row>
        <row r="63">
          <cell r="A63" t="str">
            <v>Finland</v>
          </cell>
          <cell r="B63">
            <v>0.71</v>
          </cell>
          <cell r="C63">
            <v>71.099999999999994</v>
          </cell>
        </row>
        <row r="64">
          <cell r="A64" t="str">
            <v>United Arab Emirates</v>
          </cell>
          <cell r="B64">
            <v>0.68</v>
          </cell>
          <cell r="C64">
            <v>70.099999999999994</v>
          </cell>
        </row>
        <row r="65">
          <cell r="A65" t="str">
            <v>Hong Kong</v>
          </cell>
          <cell r="B65">
            <v>0.67</v>
          </cell>
          <cell r="C65">
            <v>69.7</v>
          </cell>
        </row>
        <row r="66">
          <cell r="A66" t="str">
            <v>Netherlands</v>
          </cell>
          <cell r="B66">
            <v>0.66</v>
          </cell>
          <cell r="C66">
            <v>68.7</v>
          </cell>
        </row>
        <row r="67">
          <cell r="A67" t="str">
            <v>Estonia</v>
          </cell>
          <cell r="B67">
            <v>0.66</v>
          </cell>
          <cell r="C67">
            <v>69.2</v>
          </cell>
        </row>
        <row r="68">
          <cell r="A68" t="str">
            <v>South Korea</v>
          </cell>
          <cell r="B68">
            <v>0.61</v>
          </cell>
          <cell r="C68">
            <v>68.2</v>
          </cell>
        </row>
        <row r="69">
          <cell r="A69" t="str">
            <v>Croatia</v>
          </cell>
          <cell r="B69">
            <v>0.6</v>
          </cell>
          <cell r="C69">
            <v>67.8</v>
          </cell>
        </row>
        <row r="70">
          <cell r="A70" t="str">
            <v>Germany</v>
          </cell>
          <cell r="B70">
            <v>0.59</v>
          </cell>
          <cell r="C70">
            <v>66.400000000000006</v>
          </cell>
        </row>
        <row r="71">
          <cell r="A71" t="str">
            <v>Oman</v>
          </cell>
          <cell r="B71">
            <v>0.59</v>
          </cell>
          <cell r="C71">
            <v>65.900000000000006</v>
          </cell>
        </row>
        <row r="72">
          <cell r="A72" t="str">
            <v>Mongolia</v>
          </cell>
          <cell r="B72">
            <v>0.59</v>
          </cell>
          <cell r="C72">
            <v>67.3</v>
          </cell>
        </row>
        <row r="73">
          <cell r="A73" t="str">
            <v>Latvia</v>
          </cell>
          <cell r="B73">
            <v>0.59</v>
          </cell>
          <cell r="C73">
            <v>66.8</v>
          </cell>
        </row>
        <row r="74">
          <cell r="A74" t="str">
            <v>Belize</v>
          </cell>
          <cell r="B74">
            <v>0.59</v>
          </cell>
          <cell r="C74">
            <v>65.400000000000006</v>
          </cell>
        </row>
        <row r="75">
          <cell r="A75" t="str">
            <v>Italy</v>
          </cell>
          <cell r="B75">
            <v>0.57999999999999996</v>
          </cell>
          <cell r="C75">
            <v>64.900000000000006</v>
          </cell>
        </row>
        <row r="76">
          <cell r="A76" t="str">
            <v>Slovakia</v>
          </cell>
          <cell r="B76">
            <v>0.56999999999999995</v>
          </cell>
          <cell r="C76">
            <v>64.5</v>
          </cell>
        </row>
        <row r="77">
          <cell r="A77" t="str">
            <v>Poland</v>
          </cell>
          <cell r="B77">
            <v>0.56000000000000005</v>
          </cell>
          <cell r="C77">
            <v>64</v>
          </cell>
        </row>
        <row r="78">
          <cell r="A78" t="str">
            <v>Namibia</v>
          </cell>
          <cell r="B78">
            <v>0.54</v>
          </cell>
          <cell r="C78">
            <v>63.5</v>
          </cell>
        </row>
        <row r="79">
          <cell r="A79" t="str">
            <v>Maldives</v>
          </cell>
          <cell r="B79">
            <v>0.53</v>
          </cell>
          <cell r="C79">
            <v>62.6</v>
          </cell>
        </row>
        <row r="80">
          <cell r="A80" t="str">
            <v>United States Virgin Islands</v>
          </cell>
          <cell r="B80">
            <v>0.53</v>
          </cell>
          <cell r="C80">
            <v>63</v>
          </cell>
        </row>
        <row r="81">
          <cell r="A81" t="str">
            <v>United Kingdom</v>
          </cell>
          <cell r="B81">
            <v>0.51</v>
          </cell>
          <cell r="C81">
            <v>62.1</v>
          </cell>
        </row>
        <row r="82">
          <cell r="A82" t="str">
            <v>Puerto Rico</v>
          </cell>
          <cell r="B82">
            <v>0.51</v>
          </cell>
          <cell r="C82">
            <v>61.1</v>
          </cell>
        </row>
        <row r="83">
          <cell r="A83" t="str">
            <v>Martinique</v>
          </cell>
          <cell r="B83">
            <v>0.51</v>
          </cell>
          <cell r="C83">
            <v>61.6</v>
          </cell>
        </row>
        <row r="84">
          <cell r="A84" t="str">
            <v>Solomon Islands</v>
          </cell>
          <cell r="B84">
            <v>0.45</v>
          </cell>
          <cell r="C84">
            <v>60.7</v>
          </cell>
        </row>
        <row r="85">
          <cell r="A85" t="str">
            <v>Sao Tome and Principe</v>
          </cell>
          <cell r="B85">
            <v>0.44</v>
          </cell>
          <cell r="C85">
            <v>60.2</v>
          </cell>
        </row>
        <row r="86">
          <cell r="A86" t="str">
            <v>Kuwait</v>
          </cell>
          <cell r="B86">
            <v>0.41</v>
          </cell>
          <cell r="C86">
            <v>58.8</v>
          </cell>
        </row>
        <row r="87">
          <cell r="A87" t="str">
            <v>Cyprus</v>
          </cell>
          <cell r="B87">
            <v>0.41</v>
          </cell>
          <cell r="C87">
            <v>59.2</v>
          </cell>
        </row>
        <row r="88">
          <cell r="A88" t="str">
            <v>Suriname</v>
          </cell>
          <cell r="B88">
            <v>0.41</v>
          </cell>
          <cell r="C88">
            <v>59.7</v>
          </cell>
        </row>
        <row r="89">
          <cell r="A89" t="str">
            <v>Belgium</v>
          </cell>
          <cell r="B89">
            <v>0.4</v>
          </cell>
          <cell r="C89">
            <v>58.3</v>
          </cell>
        </row>
        <row r="90">
          <cell r="A90" t="str">
            <v>Trinidad and Tobago</v>
          </cell>
          <cell r="B90">
            <v>0.4</v>
          </cell>
          <cell r="C90">
            <v>57.8</v>
          </cell>
        </row>
        <row r="91">
          <cell r="A91" t="str">
            <v>Cuba</v>
          </cell>
          <cell r="B91">
            <v>0.38</v>
          </cell>
          <cell r="C91">
            <v>56.9</v>
          </cell>
        </row>
        <row r="92">
          <cell r="A92" t="str">
            <v>Jamaica</v>
          </cell>
          <cell r="B92">
            <v>0.38</v>
          </cell>
          <cell r="C92">
            <v>57.3</v>
          </cell>
        </row>
        <row r="93">
          <cell r="A93" t="str">
            <v>Romania</v>
          </cell>
          <cell r="B93">
            <v>0.37</v>
          </cell>
          <cell r="C93">
            <v>56.4</v>
          </cell>
        </row>
        <row r="94">
          <cell r="A94" t="str">
            <v>France</v>
          </cell>
          <cell r="B94">
            <v>0.34</v>
          </cell>
          <cell r="C94">
            <v>55.9</v>
          </cell>
        </row>
        <row r="95">
          <cell r="A95" t="str">
            <v>Bulgaria</v>
          </cell>
          <cell r="B95">
            <v>0.34</v>
          </cell>
          <cell r="C95">
            <v>55.5</v>
          </cell>
        </row>
        <row r="96">
          <cell r="A96" t="str">
            <v>Spain</v>
          </cell>
          <cell r="B96">
            <v>0.28999999999999998</v>
          </cell>
          <cell r="C96">
            <v>55</v>
          </cell>
        </row>
        <row r="97">
          <cell r="A97" t="str">
            <v>Timor-Leste</v>
          </cell>
          <cell r="B97">
            <v>0.26</v>
          </cell>
          <cell r="C97">
            <v>54.5</v>
          </cell>
        </row>
        <row r="98">
          <cell r="A98" t="str">
            <v>Dominican Republic</v>
          </cell>
          <cell r="B98">
            <v>0.24</v>
          </cell>
          <cell r="C98">
            <v>53.6</v>
          </cell>
        </row>
        <row r="99">
          <cell r="A99" t="str">
            <v>Greece</v>
          </cell>
          <cell r="B99">
            <v>0.24</v>
          </cell>
          <cell r="C99">
            <v>54</v>
          </cell>
        </row>
        <row r="100">
          <cell r="A100" t="str">
            <v>French Guiana</v>
          </cell>
          <cell r="B100">
            <v>0.23</v>
          </cell>
          <cell r="C100">
            <v>53.1</v>
          </cell>
        </row>
        <row r="101">
          <cell r="A101" t="str">
            <v>Panama</v>
          </cell>
          <cell r="B101">
            <v>0.21</v>
          </cell>
          <cell r="C101">
            <v>52.6</v>
          </cell>
        </row>
        <row r="102">
          <cell r="A102" t="str">
            <v>Zambia</v>
          </cell>
          <cell r="B102">
            <v>0.2</v>
          </cell>
          <cell r="C102">
            <v>52.1</v>
          </cell>
        </row>
        <row r="103">
          <cell r="A103" t="str">
            <v>Albania</v>
          </cell>
          <cell r="B103">
            <v>0.18</v>
          </cell>
          <cell r="C103">
            <v>51.7</v>
          </cell>
        </row>
        <row r="104">
          <cell r="A104" t="str">
            <v>Malaysia</v>
          </cell>
          <cell r="B104">
            <v>0.17</v>
          </cell>
          <cell r="C104">
            <v>50.7</v>
          </cell>
        </row>
        <row r="105">
          <cell r="A105" t="str">
            <v>North Macedonia</v>
          </cell>
          <cell r="B105">
            <v>0.17</v>
          </cell>
          <cell r="C105">
            <v>51.2</v>
          </cell>
        </row>
        <row r="106">
          <cell r="A106" t="str">
            <v>Chile</v>
          </cell>
          <cell r="B106">
            <v>0.14000000000000001</v>
          </cell>
          <cell r="C106">
            <v>50.2</v>
          </cell>
        </row>
        <row r="107">
          <cell r="A107" t="str">
            <v>Rwanda</v>
          </cell>
          <cell r="B107">
            <v>0.11</v>
          </cell>
          <cell r="C107">
            <v>49.8</v>
          </cell>
        </row>
        <row r="108">
          <cell r="A108" t="str">
            <v>Paraguay</v>
          </cell>
          <cell r="B108">
            <v>0.08</v>
          </cell>
          <cell r="C108">
            <v>49.3</v>
          </cell>
        </row>
        <row r="109">
          <cell r="A109" t="str">
            <v>Montenegro</v>
          </cell>
          <cell r="B109">
            <v>7.0000000000000007E-2</v>
          </cell>
          <cell r="C109">
            <v>48.8</v>
          </cell>
        </row>
        <row r="110">
          <cell r="A110" t="str">
            <v>Reunion</v>
          </cell>
          <cell r="B110">
            <v>0.05</v>
          </cell>
          <cell r="C110">
            <v>48.3</v>
          </cell>
        </row>
        <row r="111">
          <cell r="A111" t="str">
            <v>Cambodia</v>
          </cell>
          <cell r="B111">
            <v>0.04</v>
          </cell>
          <cell r="C111">
            <v>47.9</v>
          </cell>
        </row>
        <row r="112">
          <cell r="A112" t="str">
            <v>United States</v>
          </cell>
          <cell r="B112">
            <v>0.03</v>
          </cell>
          <cell r="C112">
            <v>47.4</v>
          </cell>
        </row>
        <row r="113">
          <cell r="A113" t="str">
            <v>Republic of the Congo</v>
          </cell>
          <cell r="B113">
            <v>0.02</v>
          </cell>
          <cell r="C113">
            <v>46.9</v>
          </cell>
        </row>
        <row r="114">
          <cell r="A114" t="str">
            <v>Gambia</v>
          </cell>
          <cell r="B114">
            <v>-0.01</v>
          </cell>
          <cell r="C114">
            <v>46</v>
          </cell>
        </row>
        <row r="115">
          <cell r="A115" t="str">
            <v>Ghana</v>
          </cell>
          <cell r="B115">
            <v>-0.02</v>
          </cell>
          <cell r="C115">
            <v>45.5</v>
          </cell>
        </row>
        <row r="116">
          <cell r="A116" t="str">
            <v>Vietnam</v>
          </cell>
          <cell r="B116">
            <v>-0.04</v>
          </cell>
          <cell r="C116">
            <v>45</v>
          </cell>
        </row>
        <row r="117">
          <cell r="A117" t="str">
            <v>Serbia</v>
          </cell>
          <cell r="B117">
            <v>-0.04</v>
          </cell>
          <cell r="C117">
            <v>44.5</v>
          </cell>
        </row>
        <row r="118">
          <cell r="A118" t="str">
            <v>Tanzania</v>
          </cell>
          <cell r="B118">
            <v>-0.05</v>
          </cell>
          <cell r="C118">
            <v>44.1</v>
          </cell>
        </row>
        <row r="119">
          <cell r="A119" t="str">
            <v>Guyana</v>
          </cell>
          <cell r="B119">
            <v>-0.06</v>
          </cell>
          <cell r="C119">
            <v>43.6</v>
          </cell>
        </row>
        <row r="120">
          <cell r="A120" t="str">
            <v>Turkmenistan</v>
          </cell>
          <cell r="B120">
            <v>-0.11</v>
          </cell>
          <cell r="C120">
            <v>43.1</v>
          </cell>
        </row>
        <row r="121">
          <cell r="A121" t="str">
            <v>Liberia</v>
          </cell>
          <cell r="B121">
            <v>-0.12</v>
          </cell>
          <cell r="C121">
            <v>42.7</v>
          </cell>
        </row>
        <row r="122">
          <cell r="A122" t="str">
            <v>Argentina</v>
          </cell>
          <cell r="B122">
            <v>-0.13</v>
          </cell>
          <cell r="C122">
            <v>41.7</v>
          </cell>
        </row>
        <row r="123">
          <cell r="A123" t="str">
            <v>Nicaragua</v>
          </cell>
          <cell r="B123">
            <v>-0.13</v>
          </cell>
          <cell r="C123">
            <v>42.2</v>
          </cell>
        </row>
        <row r="124">
          <cell r="A124" t="str">
            <v>Senegal</v>
          </cell>
          <cell r="B124">
            <v>-0.14000000000000001</v>
          </cell>
          <cell r="C124">
            <v>41.2</v>
          </cell>
        </row>
        <row r="125">
          <cell r="A125" t="str">
            <v>Uzbekistan</v>
          </cell>
          <cell r="B125">
            <v>-0.15</v>
          </cell>
          <cell r="C125">
            <v>40.799999999999997</v>
          </cell>
        </row>
        <row r="126">
          <cell r="A126" t="str">
            <v>Jordan</v>
          </cell>
          <cell r="B126">
            <v>-0.2</v>
          </cell>
          <cell r="C126">
            <v>40.299999999999997</v>
          </cell>
        </row>
        <row r="127">
          <cell r="A127" t="str">
            <v>Saudi Arabia</v>
          </cell>
          <cell r="B127">
            <v>-0.21</v>
          </cell>
          <cell r="C127">
            <v>39.799999999999997</v>
          </cell>
        </row>
        <row r="128">
          <cell r="A128" t="str">
            <v>Nepal</v>
          </cell>
          <cell r="B128">
            <v>-0.23</v>
          </cell>
          <cell r="C128">
            <v>39.299999999999997</v>
          </cell>
        </row>
        <row r="129">
          <cell r="A129" t="str">
            <v>Comoros</v>
          </cell>
          <cell r="B129">
            <v>-0.23</v>
          </cell>
          <cell r="C129">
            <v>38.9</v>
          </cell>
        </row>
        <row r="130">
          <cell r="A130" t="str">
            <v>Malawi</v>
          </cell>
          <cell r="B130">
            <v>-0.24</v>
          </cell>
          <cell r="C130">
            <v>37.9</v>
          </cell>
        </row>
        <row r="131">
          <cell r="A131" t="str">
            <v>Guatemala</v>
          </cell>
          <cell r="B131">
            <v>-0.24</v>
          </cell>
          <cell r="C131">
            <v>37</v>
          </cell>
        </row>
        <row r="132">
          <cell r="A132" t="str">
            <v>Sierra Leone</v>
          </cell>
          <cell r="B132">
            <v>-0.24</v>
          </cell>
          <cell r="C132">
            <v>37.4</v>
          </cell>
        </row>
        <row r="133">
          <cell r="A133" t="str">
            <v>Equatorial Guinea</v>
          </cell>
          <cell r="B133">
            <v>-0.24</v>
          </cell>
          <cell r="C133">
            <v>38.4</v>
          </cell>
        </row>
        <row r="134">
          <cell r="A134" t="str">
            <v>Kazakhstan</v>
          </cell>
          <cell r="B134">
            <v>-0.27</v>
          </cell>
          <cell r="C134">
            <v>36.5</v>
          </cell>
        </row>
        <row r="135">
          <cell r="A135" t="str">
            <v>Thailand</v>
          </cell>
          <cell r="B135">
            <v>-0.28000000000000003</v>
          </cell>
          <cell r="C135">
            <v>36</v>
          </cell>
        </row>
        <row r="136">
          <cell r="A136" t="str">
            <v>Bolivia</v>
          </cell>
          <cell r="B136">
            <v>-0.31</v>
          </cell>
          <cell r="C136">
            <v>35.1</v>
          </cell>
        </row>
        <row r="137">
          <cell r="A137" t="str">
            <v>Lesotho</v>
          </cell>
          <cell r="B137">
            <v>-0.31</v>
          </cell>
          <cell r="C137">
            <v>35.5</v>
          </cell>
        </row>
        <row r="138">
          <cell r="A138" t="str">
            <v>Guinea-Bissau</v>
          </cell>
          <cell r="B138">
            <v>-0.33</v>
          </cell>
          <cell r="C138">
            <v>34.1</v>
          </cell>
        </row>
        <row r="139">
          <cell r="A139" t="str">
            <v>Angola</v>
          </cell>
          <cell r="B139">
            <v>-0.34</v>
          </cell>
          <cell r="C139">
            <v>32.200000000000003</v>
          </cell>
        </row>
        <row r="140">
          <cell r="A140" t="str">
            <v>Ecuador</v>
          </cell>
          <cell r="B140">
            <v>-0.34</v>
          </cell>
          <cell r="C140">
            <v>32.700000000000003</v>
          </cell>
        </row>
        <row r="141">
          <cell r="A141" t="str">
            <v>Georgia</v>
          </cell>
          <cell r="B141">
            <v>-0.34</v>
          </cell>
          <cell r="C141">
            <v>33.200000000000003</v>
          </cell>
        </row>
        <row r="142">
          <cell r="A142" t="str">
            <v>Gabon</v>
          </cell>
          <cell r="B142">
            <v>-0.34</v>
          </cell>
          <cell r="C142">
            <v>33.6</v>
          </cell>
        </row>
        <row r="143">
          <cell r="A143" t="str">
            <v>Benin</v>
          </cell>
          <cell r="B143">
            <v>-0.35</v>
          </cell>
          <cell r="C143">
            <v>31.8</v>
          </cell>
        </row>
        <row r="144">
          <cell r="A144" t="str">
            <v>Bosnia and Herzegovina</v>
          </cell>
          <cell r="B144">
            <v>-0.35</v>
          </cell>
          <cell r="C144">
            <v>31.3</v>
          </cell>
        </row>
        <row r="145">
          <cell r="A145" t="str">
            <v>Eswatini</v>
          </cell>
          <cell r="B145">
            <v>-0.36</v>
          </cell>
          <cell r="C145">
            <v>30.8</v>
          </cell>
        </row>
        <row r="146">
          <cell r="A146" t="str">
            <v>Morocco</v>
          </cell>
          <cell r="B146">
            <v>-0.37</v>
          </cell>
          <cell r="C146">
            <v>29.9</v>
          </cell>
        </row>
        <row r="147">
          <cell r="A147" t="str">
            <v>North Korea</v>
          </cell>
          <cell r="B147">
            <v>-0.37</v>
          </cell>
          <cell r="C147">
            <v>30.3</v>
          </cell>
        </row>
        <row r="148">
          <cell r="A148" t="str">
            <v>Bahrain</v>
          </cell>
          <cell r="B148">
            <v>-0.37</v>
          </cell>
          <cell r="C148">
            <v>29.4</v>
          </cell>
        </row>
        <row r="149">
          <cell r="A149" t="str">
            <v>Indonesia</v>
          </cell>
          <cell r="B149">
            <v>-0.4</v>
          </cell>
          <cell r="C149">
            <v>28.9</v>
          </cell>
        </row>
        <row r="150">
          <cell r="A150" t="str">
            <v>Brazil</v>
          </cell>
          <cell r="B150">
            <v>-0.41</v>
          </cell>
          <cell r="C150">
            <v>28.4</v>
          </cell>
        </row>
        <row r="151">
          <cell r="A151" t="str">
            <v>Honduras</v>
          </cell>
          <cell r="B151">
            <v>-0.46</v>
          </cell>
          <cell r="C151">
            <v>28</v>
          </cell>
        </row>
        <row r="152">
          <cell r="A152" t="str">
            <v>Tajikistan</v>
          </cell>
          <cell r="B152">
            <v>-0.47</v>
          </cell>
          <cell r="C152">
            <v>27.5</v>
          </cell>
        </row>
        <row r="153">
          <cell r="A153" t="str">
            <v>Papua New Guinea</v>
          </cell>
          <cell r="B153">
            <v>-0.48</v>
          </cell>
          <cell r="C153">
            <v>27</v>
          </cell>
        </row>
        <row r="154">
          <cell r="A154" t="str">
            <v>Kyrgyzstan</v>
          </cell>
          <cell r="B154">
            <v>-0.48</v>
          </cell>
          <cell r="C154">
            <v>26.5</v>
          </cell>
        </row>
        <row r="155">
          <cell r="A155" t="str">
            <v>Mauritania</v>
          </cell>
          <cell r="B155">
            <v>-0.5</v>
          </cell>
          <cell r="C155">
            <v>26.1</v>
          </cell>
        </row>
        <row r="156">
          <cell r="A156" t="str">
            <v>China</v>
          </cell>
          <cell r="B156">
            <v>-0.51</v>
          </cell>
          <cell r="C156">
            <v>25.1</v>
          </cell>
        </row>
        <row r="157">
          <cell r="A157" t="str">
            <v>Sri Lanka</v>
          </cell>
          <cell r="B157">
            <v>-0.51</v>
          </cell>
          <cell r="C157">
            <v>25.6</v>
          </cell>
        </row>
        <row r="158">
          <cell r="A158" t="str">
            <v>Peru</v>
          </cell>
          <cell r="B158">
            <v>-0.52</v>
          </cell>
          <cell r="C158">
            <v>24.2</v>
          </cell>
        </row>
        <row r="159">
          <cell r="A159" t="str">
            <v>Djibouti</v>
          </cell>
          <cell r="B159">
            <v>-0.52</v>
          </cell>
          <cell r="C159">
            <v>24.6</v>
          </cell>
        </row>
        <row r="160">
          <cell r="A160" t="str">
            <v>Philippines</v>
          </cell>
          <cell r="B160">
            <v>-0.56999999999999995</v>
          </cell>
          <cell r="C160">
            <v>23.7</v>
          </cell>
        </row>
        <row r="161">
          <cell r="A161" t="str">
            <v>Algeria</v>
          </cell>
          <cell r="B161">
            <v>-0.57999999999999996</v>
          </cell>
          <cell r="C161">
            <v>23.2</v>
          </cell>
        </row>
        <row r="162">
          <cell r="A162" t="str">
            <v>Mexico</v>
          </cell>
          <cell r="B162">
            <v>-0.63</v>
          </cell>
          <cell r="C162">
            <v>22.7</v>
          </cell>
        </row>
        <row r="163">
          <cell r="A163" t="str">
            <v>Ivory Coast</v>
          </cell>
          <cell r="B163">
            <v>-0.63</v>
          </cell>
          <cell r="C163">
            <v>21.8</v>
          </cell>
        </row>
        <row r="164">
          <cell r="A164" t="str">
            <v>Tunisia</v>
          </cell>
          <cell r="B164">
            <v>-0.63</v>
          </cell>
          <cell r="C164">
            <v>22.3</v>
          </cell>
        </row>
        <row r="165">
          <cell r="A165" t="str">
            <v>India</v>
          </cell>
          <cell r="B165">
            <v>-0.64</v>
          </cell>
          <cell r="C165">
            <v>21.3</v>
          </cell>
        </row>
        <row r="166">
          <cell r="A166" t="str">
            <v>South Africa</v>
          </cell>
          <cell r="B166">
            <v>-0.67</v>
          </cell>
          <cell r="C166">
            <v>20.9</v>
          </cell>
        </row>
        <row r="167">
          <cell r="A167" t="str">
            <v>Moldova</v>
          </cell>
          <cell r="B167">
            <v>-0.68</v>
          </cell>
          <cell r="C167">
            <v>20.399999999999999</v>
          </cell>
        </row>
        <row r="168">
          <cell r="A168" t="str">
            <v>Madagascar</v>
          </cell>
          <cell r="B168">
            <v>-0.69</v>
          </cell>
          <cell r="C168">
            <v>19.899999999999999</v>
          </cell>
        </row>
        <row r="169">
          <cell r="A169" t="str">
            <v>Uganda</v>
          </cell>
          <cell r="B169">
            <v>-0.7</v>
          </cell>
          <cell r="C169">
            <v>19.399999999999999</v>
          </cell>
        </row>
        <row r="170">
          <cell r="A170" t="str">
            <v>Colombia</v>
          </cell>
          <cell r="B170">
            <v>-0.72</v>
          </cell>
          <cell r="C170">
            <v>19</v>
          </cell>
        </row>
        <row r="171">
          <cell r="A171" t="str">
            <v>Azerbaijan</v>
          </cell>
          <cell r="B171">
            <v>-0.73</v>
          </cell>
          <cell r="C171">
            <v>18</v>
          </cell>
        </row>
        <row r="172">
          <cell r="A172" t="str">
            <v>Belarus</v>
          </cell>
          <cell r="B172">
            <v>-0.73</v>
          </cell>
          <cell r="C172">
            <v>18.5</v>
          </cell>
        </row>
        <row r="173">
          <cell r="A173" t="str">
            <v>Eritrea</v>
          </cell>
          <cell r="B173">
            <v>-0.79</v>
          </cell>
          <cell r="C173">
            <v>17.5</v>
          </cell>
        </row>
        <row r="174">
          <cell r="A174" t="str">
            <v>Armenia</v>
          </cell>
          <cell r="B174">
            <v>-0.83</v>
          </cell>
          <cell r="C174">
            <v>17.100000000000001</v>
          </cell>
        </row>
        <row r="175">
          <cell r="A175" t="str">
            <v>Egypt</v>
          </cell>
          <cell r="B175">
            <v>-0.87</v>
          </cell>
          <cell r="C175">
            <v>16.600000000000001</v>
          </cell>
        </row>
        <row r="176">
          <cell r="A176" t="str">
            <v>Guinea</v>
          </cell>
          <cell r="B176">
            <v>-0.88</v>
          </cell>
          <cell r="C176">
            <v>16.100000000000001</v>
          </cell>
        </row>
        <row r="177">
          <cell r="A177" t="str">
            <v>Bangladesh</v>
          </cell>
          <cell r="B177">
            <v>-0.91</v>
          </cell>
          <cell r="C177">
            <v>15.6</v>
          </cell>
        </row>
        <row r="178">
          <cell r="A178" t="str">
            <v>Zimbabwe</v>
          </cell>
          <cell r="B178">
            <v>-0.93</v>
          </cell>
          <cell r="C178">
            <v>15.2</v>
          </cell>
        </row>
        <row r="179">
          <cell r="A179" t="str">
            <v>Kenya</v>
          </cell>
          <cell r="B179">
            <v>-0.94</v>
          </cell>
          <cell r="C179">
            <v>14.7</v>
          </cell>
        </row>
        <row r="180">
          <cell r="A180" t="str">
            <v>Togo</v>
          </cell>
          <cell r="B180">
            <v>-0.95</v>
          </cell>
          <cell r="C180">
            <v>14.2</v>
          </cell>
        </row>
        <row r="181">
          <cell r="A181" t="str">
            <v>Turkey</v>
          </cell>
          <cell r="B181">
            <v>-1.01</v>
          </cell>
          <cell r="C181">
            <v>13.7</v>
          </cell>
        </row>
        <row r="182">
          <cell r="A182" t="str">
            <v>Russia</v>
          </cell>
          <cell r="B182">
            <v>-1.1299999999999999</v>
          </cell>
          <cell r="C182">
            <v>13.3</v>
          </cell>
        </row>
        <row r="183">
          <cell r="A183" t="str">
            <v>Burundi</v>
          </cell>
          <cell r="B183">
            <v>-1.17</v>
          </cell>
          <cell r="C183">
            <v>12.8</v>
          </cell>
        </row>
        <row r="184">
          <cell r="A184" t="str">
            <v>Venezuela</v>
          </cell>
          <cell r="B184">
            <v>-1.19</v>
          </cell>
          <cell r="C184">
            <v>12.3</v>
          </cell>
        </row>
        <row r="185">
          <cell r="A185" t="str">
            <v>Mozambique</v>
          </cell>
          <cell r="B185">
            <v>-1.27</v>
          </cell>
          <cell r="C185">
            <v>11.8</v>
          </cell>
        </row>
        <row r="186">
          <cell r="A186" t="str">
            <v>Cameroon</v>
          </cell>
          <cell r="B186">
            <v>-1.4</v>
          </cell>
          <cell r="C186">
            <v>11.4</v>
          </cell>
        </row>
        <row r="187">
          <cell r="A187" t="str">
            <v>Ukraine</v>
          </cell>
          <cell r="B187">
            <v>-1.43</v>
          </cell>
          <cell r="C187">
            <v>10.9</v>
          </cell>
        </row>
        <row r="188">
          <cell r="A188" t="str">
            <v>Haiti</v>
          </cell>
          <cell r="B188">
            <v>-1.43</v>
          </cell>
          <cell r="C188">
            <v>10.4</v>
          </cell>
        </row>
        <row r="189">
          <cell r="A189" t="str">
            <v>Israel</v>
          </cell>
          <cell r="B189">
            <v>-1.46</v>
          </cell>
          <cell r="C189">
            <v>10</v>
          </cell>
        </row>
        <row r="190">
          <cell r="A190" t="str">
            <v>Lebanon</v>
          </cell>
          <cell r="B190">
            <v>-1.52</v>
          </cell>
          <cell r="C190">
            <v>9.5</v>
          </cell>
        </row>
        <row r="191">
          <cell r="A191" t="str">
            <v>Chad</v>
          </cell>
          <cell r="B191">
            <v>-1.56</v>
          </cell>
          <cell r="C191">
            <v>9</v>
          </cell>
        </row>
        <row r="192">
          <cell r="A192" t="str">
            <v>Niger</v>
          </cell>
          <cell r="B192">
            <v>-1.67</v>
          </cell>
          <cell r="C192">
            <v>8.5</v>
          </cell>
        </row>
        <row r="193">
          <cell r="A193" t="str">
            <v>Iran</v>
          </cell>
          <cell r="B193">
            <v>-1.69</v>
          </cell>
          <cell r="C193">
            <v>8.1</v>
          </cell>
        </row>
        <row r="194">
          <cell r="A194" t="str">
            <v>Nigeria</v>
          </cell>
          <cell r="B194">
            <v>-1.77</v>
          </cell>
          <cell r="C194">
            <v>7.6</v>
          </cell>
        </row>
        <row r="195">
          <cell r="A195" t="str">
            <v>Palestine</v>
          </cell>
          <cell r="B195">
            <v>-1.87</v>
          </cell>
          <cell r="C195">
            <v>7.1</v>
          </cell>
        </row>
        <row r="196">
          <cell r="A196" t="str">
            <v>Pakistan</v>
          </cell>
          <cell r="B196">
            <v>-1.93</v>
          </cell>
          <cell r="C196">
            <v>6.6</v>
          </cell>
        </row>
        <row r="197">
          <cell r="A197" t="str">
            <v>Ethiopia</v>
          </cell>
          <cell r="B197">
            <v>-1.97</v>
          </cell>
          <cell r="C197">
            <v>6.2</v>
          </cell>
        </row>
        <row r="198">
          <cell r="A198" t="str">
            <v>DR Congo</v>
          </cell>
          <cell r="B198">
            <v>-2.04</v>
          </cell>
          <cell r="C198">
            <v>5.2</v>
          </cell>
        </row>
        <row r="199">
          <cell r="A199" t="str">
            <v>Burkina Faso</v>
          </cell>
          <cell r="B199">
            <v>-2.04</v>
          </cell>
          <cell r="C199">
            <v>5.7</v>
          </cell>
        </row>
        <row r="200">
          <cell r="A200" t="str">
            <v>Myanmar</v>
          </cell>
          <cell r="B200">
            <v>-2.13</v>
          </cell>
          <cell r="C200">
            <v>4.7</v>
          </cell>
        </row>
        <row r="201">
          <cell r="A201" t="str">
            <v>Libya</v>
          </cell>
          <cell r="B201">
            <v>-2.17</v>
          </cell>
          <cell r="C201">
            <v>4.3</v>
          </cell>
        </row>
        <row r="202">
          <cell r="A202" t="str">
            <v>South Sudan</v>
          </cell>
          <cell r="B202">
            <v>-2.19</v>
          </cell>
          <cell r="C202">
            <v>3.8</v>
          </cell>
        </row>
        <row r="203">
          <cell r="A203" t="str">
            <v>Central African Republic</v>
          </cell>
          <cell r="B203">
            <v>-2.2000000000000002</v>
          </cell>
          <cell r="C203">
            <v>3.3</v>
          </cell>
        </row>
        <row r="204">
          <cell r="A204" t="str">
            <v>Somalia</v>
          </cell>
          <cell r="B204">
            <v>-2.38</v>
          </cell>
          <cell r="C204">
            <v>2.8</v>
          </cell>
        </row>
        <row r="205">
          <cell r="A205" t="str">
            <v>Iraq</v>
          </cell>
          <cell r="B205">
            <v>-2.41</v>
          </cell>
          <cell r="C205">
            <v>2.4</v>
          </cell>
        </row>
        <row r="206">
          <cell r="A206" t="str">
            <v>Sudan</v>
          </cell>
          <cell r="B206">
            <v>-2.4700000000000002</v>
          </cell>
          <cell r="C206">
            <v>1.9</v>
          </cell>
        </row>
        <row r="207">
          <cell r="A207" t="str">
            <v>Afghanistan</v>
          </cell>
          <cell r="B207">
            <v>-2.48</v>
          </cell>
          <cell r="C207">
            <v>1.4</v>
          </cell>
        </row>
        <row r="208">
          <cell r="A208" t="str">
            <v>Yemen</v>
          </cell>
          <cell r="B208">
            <v>-2.56</v>
          </cell>
          <cell r="C208">
            <v>0.9</v>
          </cell>
        </row>
      </sheetData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67B0CE4-10AA-4E04-9A97-078E814842E1}" autoFormatId="16" applyNumberFormats="0" applyBorderFormats="0" applyFontFormats="0" applyPatternFormats="0" applyAlignmentFormats="0" applyWidthHeightFormats="0">
  <queryTableRefresh nextId="20">
    <queryTableFields count="13">
      <queryTableField id="1" name="Country" tableColumnId="1"/>
      <queryTableField id="2" name="Total Data Center" tableColumnId="2"/>
      <queryTableField id="3" name="Hyperscale Data Centers" tableColumnId="3"/>
      <queryTableField id="4" name="Colocation Data Centers" tableColumnId="4"/>
      <queryTableField id="6" name="Power Capacity Mw Total" tableColumnId="6"/>
      <queryTableField id="7" name="Average Renewable Energy Usage Percent" tableColumnId="7"/>
      <queryTableField id="9" name="Key Operators" tableColumnId="9"/>
      <queryTableField id="14" name="Growth Rate Of Data Centers Percent Per Year" tableColumnId="14"/>
      <queryTableField id="15" name="Cooling Technologies Common" tableColumnId="15"/>
      <queryTableField id="16" name="Regulatory Challenges Or Limits" tableColumnId="16"/>
      <queryTableField id="17" name="Disaster Recovery Sites Common" tableColumnId="17"/>
      <queryTableField id="18" name="Green Dc Initiatives Description" tableColumnId="18"/>
      <queryTableField id="19" name="Source Of Data" tableColumnId="19"/>
    </queryTableFields>
    <queryTableDeletedFields count="6">
      <deletedField name="Floor Space Sqft Total"/>
      <deletedField name="Tier Distribution"/>
      <deletedField name="Cloud Provider"/>
      <deletedField name="Internet Penetration Percent"/>
      <deletedField name="Avg Latency To Global Hubs Ms"/>
      <deletedField name="Number Of Fiber Connection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A23817-084D-43ED-9753-2C568DECCC19}" autoFormatId="16" applyNumberFormats="0" applyBorderFormats="0" applyFontFormats="0" applyPatternFormats="0" applyAlignmentFormats="0" applyWidthHeightFormats="0">
  <queryTableRefresh nextId="14">
    <queryTableFields count="13">
      <queryTableField id="1" name="Country" tableColumnId="1"/>
      <queryTableField id="2" name="Total Data Center" tableColumnId="2"/>
      <queryTableField id="3" name="Hyperscale Data Centers" tableColumnId="3"/>
      <queryTableField id="4" name="Colocation Data Centers" tableColumnId="4"/>
      <queryTableField id="5" name="Power Capacity Mw Total" tableColumnId="5"/>
      <queryTableField id="6" name="Average Renewable Energy Usage Percent" tableColumnId="6"/>
      <queryTableField id="7" name="Key Operators" tableColumnId="7"/>
      <queryTableField id="8" name="Growth Rate Of Data Centers Percent Per Year" tableColumnId="8"/>
      <queryTableField id="9" name="Cooling Technologies Common" tableColumnId="9"/>
      <queryTableField id="10" name="Regulatory Challenges Or Limits" tableColumnId="10"/>
      <queryTableField id="11" name="Disaster Recovery Sites Common" tableColumnId="11"/>
      <queryTableField id="12" name="Green Dc Initiatives Description" tableColumnId="12"/>
      <queryTableField id="13" name="Source Of Data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F71C8-9C75-4BAD-B647-872FD3B2EAAA}" name="Table1_2" displayName="Table1_2" ref="A1:M192" tableType="queryTable" totalsRowShown="0" headerRowDxfId="14" dataDxfId="13">
  <autoFilter ref="A1:M192" xr:uid="{2DDF71C8-9C75-4BAD-B647-872FD3B2EAAA}"/>
  <tableColumns count="13">
    <tableColumn id="1" xr3:uid="{B63DC506-FB5C-4884-8373-F3836620F601}" uniqueName="1" name="Country" queryTableFieldId="1" dataDxfId="12"/>
    <tableColumn id="2" xr3:uid="{59E03EFD-E262-466E-99B0-257B74A64FB6}" uniqueName="2" name="Total Data Center" queryTableFieldId="2" dataDxfId="11"/>
    <tableColumn id="3" xr3:uid="{C942417D-3CD5-4F5A-9DA7-B6BF50790D6D}" uniqueName="3" name="Hyperscale Data Centers" queryTableFieldId="3" dataDxfId="10"/>
    <tableColumn id="4" xr3:uid="{26753776-D1B5-46AA-A634-693148E40EAE}" uniqueName="4" name="Colocation Data Centers" queryTableFieldId="4" dataDxfId="9"/>
    <tableColumn id="6" xr3:uid="{246F3FCB-EFA5-474A-833A-7407C512BDA8}" uniqueName="6" name="Power Capacity Mw Total" queryTableFieldId="6" dataDxfId="8"/>
    <tableColumn id="7" xr3:uid="{B4E9C97B-5260-4A1A-AD6F-5D5ECB8CAEC7}" uniqueName="7" name="Average Renewable Energy Usage Percent" queryTableFieldId="7" dataDxfId="7"/>
    <tableColumn id="9" xr3:uid="{3093D40E-9B08-430C-B3DE-37234ACA7C02}" uniqueName="9" name="Key Operators" queryTableFieldId="9" dataDxfId="6"/>
    <tableColumn id="14" xr3:uid="{E774325F-910A-4AB0-BEF3-8E8EBC403B45}" uniqueName="14" name="Growth Rate Of Data Centers Percent Per Year" queryTableFieldId="14" dataDxfId="5"/>
    <tableColumn id="15" xr3:uid="{155A139E-44FD-4B42-8853-85B189A621A7}" uniqueName="15" name="Cooling Technologies Common" queryTableFieldId="15" dataDxfId="4"/>
    <tableColumn id="16" xr3:uid="{B6AD7923-BC7C-4A0E-A8F9-DE6068AAEF70}" uniqueName="16" name="Regulatory Challenges Or Limits" queryTableFieldId="16" dataDxfId="3"/>
    <tableColumn id="17" xr3:uid="{5A765467-0505-4F93-BD4A-F611233CB740}" uniqueName="17" name="Disaster Recovery Sites Common" queryTableFieldId="17" dataDxfId="2"/>
    <tableColumn id="18" xr3:uid="{F8F6DAD3-FCD8-4E4C-98D3-EA885E8C5057}" uniqueName="18" name="Green Dc Initiatives Description" queryTableFieldId="18" dataDxfId="1"/>
    <tableColumn id="19" xr3:uid="{23CECD84-D2BE-4603-ABB6-3B4BFBC1B3C8}" uniqueName="19" name="Source Of Data" queryTableFieldId="1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A59627-B3F0-4C10-A8C4-CC2BEDFC6D84}" name="Table1_1" displayName="Table1_1" ref="A1:M20" tableType="queryTable" totalsRowShown="0" headerRowDxfId="42" dataDxfId="41">
  <autoFilter ref="A1:M20" xr:uid="{2DA59627-B3F0-4C10-A8C4-CC2BEDFC6D84}"/>
  <tableColumns count="13">
    <tableColumn id="1" xr3:uid="{6C080667-EAD8-4585-BA20-F04C84D4CF8C}" uniqueName="1" name="Country" queryTableFieldId="1" dataDxfId="40"/>
    <tableColumn id="2" xr3:uid="{D6919031-2DF0-429A-86D7-67229DBFDEDF}" uniqueName="2" name="Total Data Center" queryTableFieldId="2" dataDxfId="39"/>
    <tableColumn id="3" xr3:uid="{65CA5685-C940-4433-8D91-AEF0A17B60CF}" uniqueName="3" name="Hyperscale Data Centers" queryTableFieldId="3" dataDxfId="38"/>
    <tableColumn id="4" xr3:uid="{6E8E7B55-7AAC-4300-86D4-24E15B45157E}" uniqueName="4" name="Colocation Data Centers" queryTableFieldId="4" dataDxfId="37"/>
    <tableColumn id="5" xr3:uid="{FFB63018-2F44-4207-9EF6-185E8A623DB4}" uniqueName="5" name="Power Capacity Mw Total" queryTableFieldId="5" dataDxfId="36"/>
    <tableColumn id="6" xr3:uid="{7957830F-330C-4FA8-A813-9A6E0D6CD59B}" uniqueName="6" name="Average Renewable Energy Usage Percent" queryTableFieldId="6" dataDxfId="35"/>
    <tableColumn id="7" xr3:uid="{3CFE6BD3-588D-4F7D-92F7-E38CA78F1C10}" uniqueName="7" name="Key Operators" queryTableFieldId="7" dataDxfId="34"/>
    <tableColumn id="8" xr3:uid="{DB03DBA8-C9AD-443D-A32E-D1A9B4CAA181}" uniqueName="8" name="Growth Rate Of Data Centers Percent Per Year" queryTableFieldId="8" dataDxfId="33"/>
    <tableColumn id="9" xr3:uid="{F5A4CA51-74D6-4887-AB85-FC38CAC15414}" uniqueName="9" name="Cooling Technologies Common" queryTableFieldId="9" dataDxfId="32"/>
    <tableColumn id="10" xr3:uid="{104E709C-F551-4078-8300-DC3E8C66CDB7}" uniqueName="10" name="Regulatory Challenges Or Limits" queryTableFieldId="10" dataDxfId="31"/>
    <tableColumn id="11" xr3:uid="{8D44DA05-9A94-4920-9609-C18FBA50FB32}" uniqueName="11" name="Disaster Recovery Sites Common" queryTableFieldId="11" dataDxfId="30"/>
    <tableColumn id="12" xr3:uid="{C4DB820C-2BDD-42F1-8FEC-82F726F558B9}" uniqueName="12" name="Green Dc Initiatives Description" queryTableFieldId="12" dataDxfId="29"/>
    <tableColumn id="13" xr3:uid="{FA0D0686-3780-412B-8BC5-D61873F36649}" uniqueName="13" name="Source Of Data" queryTableFieldId="13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9CD47F-7971-4929-970B-0D3DA68ABBB0}" name="Table13" displayName="Table13" ref="A1:K11" totalsRowShown="0" headerRowDxfId="27" dataDxfId="26">
  <autoFilter ref="A1:K11" xr:uid="{969CD47F-7971-4929-970B-0D3DA68ABBB0}"/>
  <tableColumns count="11">
    <tableColumn id="1" xr3:uid="{183E5356-1E0A-4517-A3AD-AFD2792F5596}" name="Continent" dataDxfId="25"/>
    <tableColumn id="2" xr3:uid="{8EB407B1-6985-4C7D-9A8A-A46F6821334B}" name="Regions" dataDxfId="24"/>
    <tableColumn id="3" xr3:uid="{6FE7ED30-72DB-4DA1-870D-C809D9120913}" name="Code" dataDxfId="23"/>
    <tableColumn id="4" xr3:uid="{23C79A9A-AB83-4E81-BB08-67B4629E4845}" name="Zones" dataDxfId="22"/>
    <tableColumn id="5" xr3:uid="{7D158CC0-23B4-42DB-B122-9545965C112B}" name="City" dataDxfId="21"/>
    <tableColumn id="6" xr3:uid="{9362477D-2C82-4BB8-9A0C-74F3ADEAA1F5}" name="State" dataDxfId="20"/>
    <tableColumn id="7" xr3:uid="{21155736-8783-4ECD-818E-2F99ABFCC42E}" name="Country" dataDxfId="19"/>
    <tableColumn id="8" xr3:uid="{FC1C7ACA-F7C6-4415-BB5D-2BFF8729CC6C}" name="Expected date" dataDxfId="18"/>
    <tableColumn id="9" xr3:uid="{BA488F6F-F62F-4C0B-98C9-12D299300EC0}" name="Latitude" dataDxfId="17"/>
    <tableColumn id="10" xr3:uid="{955D26A6-264F-497C-BCA6-627444F7A6EA}" name="Longitude" dataDxfId="16"/>
    <tableColumn id="11" xr3:uid="{7208D309-139D-43DB-B77B-24A786A9B824}" name="Company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7FF4-2B71-4075-A2EA-AFFEB697AD8A}">
  <dimension ref="A1:M192"/>
  <sheetViews>
    <sheetView tabSelected="1" workbookViewId="0">
      <selection activeCell="G1" sqref="G1:G1048576"/>
    </sheetView>
  </sheetViews>
  <sheetFormatPr defaultRowHeight="14.4" x14ac:dyDescent="0.3"/>
  <cols>
    <col min="1" max="1" width="29.77734375" bestFit="1" customWidth="1"/>
    <col min="2" max="2" width="17.88671875" bestFit="1" customWidth="1"/>
    <col min="3" max="3" width="23.77734375" bestFit="1" customWidth="1"/>
    <col min="4" max="4" width="23.6640625" bestFit="1" customWidth="1"/>
    <col min="5" max="5" width="24.88671875" bestFit="1" customWidth="1"/>
    <col min="6" max="6" width="39.109375" bestFit="1" customWidth="1"/>
    <col min="7" max="7" width="155.44140625" bestFit="1" customWidth="1"/>
    <col min="8" max="8" width="42.21875" bestFit="1" customWidth="1"/>
    <col min="9" max="9" width="119.44140625" bestFit="1" customWidth="1"/>
    <col min="10" max="10" width="128.33203125" bestFit="1" customWidth="1"/>
    <col min="11" max="11" width="172.44140625" bestFit="1" customWidth="1"/>
    <col min="12" max="12" width="238.21875" bestFit="1" customWidth="1"/>
    <col min="13" max="13" width="142.88671875" bestFit="1" customWidth="1"/>
  </cols>
  <sheetData>
    <row r="1" spans="1:13" x14ac:dyDescent="0.3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</row>
    <row r="2" spans="1:13" x14ac:dyDescent="0.3">
      <c r="A2" s="1" t="s">
        <v>2</v>
      </c>
      <c r="B2" s="1">
        <v>5426</v>
      </c>
      <c r="C2" s="1" t="s">
        <v>661</v>
      </c>
      <c r="D2" s="1" t="s">
        <v>662</v>
      </c>
      <c r="E2" s="1" t="s">
        <v>663</v>
      </c>
      <c r="F2" s="1" t="s">
        <v>664</v>
      </c>
      <c r="G2" s="1" t="s">
        <v>3</v>
      </c>
      <c r="H2" s="1">
        <v>0.12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</row>
    <row r="3" spans="1:13" x14ac:dyDescent="0.3">
      <c r="A3" s="1" t="s">
        <v>9</v>
      </c>
      <c r="B3" s="1">
        <v>529</v>
      </c>
      <c r="C3" s="1">
        <v>50</v>
      </c>
      <c r="D3" s="1" t="s">
        <v>665</v>
      </c>
      <c r="E3" s="1" t="s">
        <v>662</v>
      </c>
      <c r="F3" s="1" t="s">
        <v>666</v>
      </c>
      <c r="G3" s="1" t="s">
        <v>10</v>
      </c>
      <c r="H3" s="1">
        <v>0.08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</row>
    <row r="4" spans="1:13" x14ac:dyDescent="0.3">
      <c r="A4" s="1" t="s">
        <v>16</v>
      </c>
      <c r="B4" s="1">
        <v>523</v>
      </c>
      <c r="C4" s="1">
        <v>30</v>
      </c>
      <c r="D4" s="1" t="s">
        <v>667</v>
      </c>
      <c r="E4" s="1" t="s">
        <v>668</v>
      </c>
      <c r="F4" s="1">
        <v>0.45</v>
      </c>
      <c r="G4" s="1" t="s">
        <v>17</v>
      </c>
      <c r="H4" s="1">
        <v>7.0000000000000007E-2</v>
      </c>
      <c r="I4" s="1" t="s">
        <v>18</v>
      </c>
      <c r="J4" s="1" t="s">
        <v>19</v>
      </c>
      <c r="K4" s="1" t="s">
        <v>13</v>
      </c>
      <c r="L4" s="1" t="s">
        <v>20</v>
      </c>
      <c r="M4" s="1" t="s">
        <v>15</v>
      </c>
    </row>
    <row r="5" spans="1:13" x14ac:dyDescent="0.3">
      <c r="A5" s="1" t="s">
        <v>21</v>
      </c>
      <c r="B5" s="1">
        <v>449</v>
      </c>
      <c r="C5" s="1">
        <v>100</v>
      </c>
      <c r="D5" s="1" t="s">
        <v>668</v>
      </c>
      <c r="E5" s="1" t="s">
        <v>669</v>
      </c>
      <c r="F5" s="1">
        <v>0.25</v>
      </c>
      <c r="G5" s="1" t="s">
        <v>22</v>
      </c>
      <c r="H5" s="1">
        <v>0.15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15</v>
      </c>
    </row>
    <row r="6" spans="1:13" x14ac:dyDescent="0.3">
      <c r="A6" s="1" t="s">
        <v>27</v>
      </c>
      <c r="B6" s="1">
        <v>322</v>
      </c>
      <c r="C6" s="1">
        <v>20</v>
      </c>
      <c r="D6" s="1" t="s">
        <v>670</v>
      </c>
      <c r="E6" s="1" t="s">
        <v>671</v>
      </c>
      <c r="F6" s="1" t="s">
        <v>666</v>
      </c>
      <c r="G6" s="1" t="s">
        <v>28</v>
      </c>
      <c r="H6" s="1">
        <v>0.06</v>
      </c>
      <c r="I6" s="1" t="s">
        <v>23</v>
      </c>
      <c r="J6" s="1" t="s">
        <v>29</v>
      </c>
      <c r="K6" s="1" t="s">
        <v>30</v>
      </c>
      <c r="L6" s="1" t="s">
        <v>31</v>
      </c>
      <c r="M6" s="1" t="s">
        <v>15</v>
      </c>
    </row>
    <row r="7" spans="1:13" x14ac:dyDescent="0.3">
      <c r="A7" s="1" t="s">
        <v>32</v>
      </c>
      <c r="B7" s="1">
        <v>336</v>
      </c>
      <c r="C7" s="1">
        <v>15</v>
      </c>
      <c r="D7" s="1" t="s">
        <v>672</v>
      </c>
      <c r="E7" s="1" t="s">
        <v>673</v>
      </c>
      <c r="F7" s="1">
        <v>0.78</v>
      </c>
      <c r="G7" s="1" t="s">
        <v>33</v>
      </c>
      <c r="H7" s="1">
        <v>0.09</v>
      </c>
      <c r="I7" s="1" t="s">
        <v>34</v>
      </c>
      <c r="J7" s="1" t="s">
        <v>35</v>
      </c>
      <c r="K7" s="1" t="s">
        <v>6</v>
      </c>
      <c r="L7" s="1" t="s">
        <v>36</v>
      </c>
      <c r="M7" s="1" t="s">
        <v>15</v>
      </c>
    </row>
    <row r="8" spans="1:13" x14ac:dyDescent="0.3">
      <c r="A8" s="1" t="s">
        <v>37</v>
      </c>
      <c r="B8" s="1">
        <v>314</v>
      </c>
      <c r="C8" s="1">
        <v>20</v>
      </c>
      <c r="D8" s="1" t="s">
        <v>674</v>
      </c>
      <c r="E8" s="1" t="s">
        <v>675</v>
      </c>
      <c r="F8" s="1">
        <v>0.3</v>
      </c>
      <c r="G8" s="1" t="s">
        <v>38</v>
      </c>
      <c r="H8" s="1">
        <v>0.1</v>
      </c>
      <c r="I8" s="1" t="s">
        <v>34</v>
      </c>
      <c r="J8" s="1" t="s">
        <v>39</v>
      </c>
      <c r="K8" s="1" t="s">
        <v>40</v>
      </c>
      <c r="L8" s="1" t="s">
        <v>41</v>
      </c>
      <c r="M8" s="1" t="s">
        <v>15</v>
      </c>
    </row>
    <row r="9" spans="1:13" x14ac:dyDescent="0.3">
      <c r="A9" s="1" t="s">
        <v>42</v>
      </c>
      <c r="B9" s="1">
        <v>298</v>
      </c>
      <c r="C9" s="1">
        <v>15</v>
      </c>
      <c r="D9" s="1" t="s">
        <v>676</v>
      </c>
      <c r="E9" s="1" t="s">
        <v>671</v>
      </c>
      <c r="F9" s="1">
        <v>0.9</v>
      </c>
      <c r="G9" s="1" t="s">
        <v>43</v>
      </c>
      <c r="H9" s="1">
        <v>0.08</v>
      </c>
      <c r="I9" s="1" t="s">
        <v>34</v>
      </c>
      <c r="J9" s="1" t="s">
        <v>44</v>
      </c>
      <c r="K9" s="1" t="s">
        <v>45</v>
      </c>
      <c r="L9" s="1" t="s">
        <v>46</v>
      </c>
      <c r="M9" s="1" t="s">
        <v>15</v>
      </c>
    </row>
    <row r="10" spans="1:13" x14ac:dyDescent="0.3">
      <c r="A10" s="1" t="s">
        <v>47</v>
      </c>
      <c r="B10" s="1">
        <v>251</v>
      </c>
      <c r="C10" s="1">
        <v>10</v>
      </c>
      <c r="D10" s="1" t="s">
        <v>677</v>
      </c>
      <c r="E10" s="1" t="s">
        <v>678</v>
      </c>
      <c r="F10" s="1">
        <v>0.15</v>
      </c>
      <c r="G10" s="1" t="s">
        <v>48</v>
      </c>
      <c r="H10" s="1">
        <v>0.06</v>
      </c>
      <c r="I10" s="1" t="s">
        <v>23</v>
      </c>
      <c r="J10" s="1" t="s">
        <v>49</v>
      </c>
      <c r="K10" s="1" t="s">
        <v>25</v>
      </c>
      <c r="L10" s="1" t="s">
        <v>50</v>
      </c>
      <c r="M10" s="1" t="s">
        <v>15</v>
      </c>
    </row>
    <row r="11" spans="1:13" x14ac:dyDescent="0.3">
      <c r="A11" s="1" t="s">
        <v>51</v>
      </c>
      <c r="B11" s="1">
        <v>222</v>
      </c>
      <c r="C11" s="1">
        <v>20</v>
      </c>
      <c r="D11" s="1" t="s">
        <v>674</v>
      </c>
      <c r="E11" s="1" t="s">
        <v>679</v>
      </c>
      <c r="F11" s="1">
        <v>0.25</v>
      </c>
      <c r="G11" s="1" t="s">
        <v>52</v>
      </c>
      <c r="H11" s="1">
        <v>7.0000000000000007E-2</v>
      </c>
      <c r="I11" s="1" t="s">
        <v>4</v>
      </c>
      <c r="J11" s="1" t="s">
        <v>53</v>
      </c>
      <c r="K11" s="1" t="s">
        <v>40</v>
      </c>
      <c r="L11" s="1" t="s">
        <v>54</v>
      </c>
      <c r="M11" s="1" t="s">
        <v>15</v>
      </c>
    </row>
    <row r="12" spans="1:13" x14ac:dyDescent="0.3">
      <c r="A12" s="1" t="s">
        <v>55</v>
      </c>
      <c r="B12" s="1">
        <v>196</v>
      </c>
      <c r="C12" s="1">
        <v>10</v>
      </c>
      <c r="D12" s="1" t="s">
        <v>672</v>
      </c>
      <c r="E12" s="1" t="s">
        <v>680</v>
      </c>
      <c r="F12" s="1">
        <v>0.25</v>
      </c>
      <c r="G12" s="1" t="s">
        <v>56</v>
      </c>
      <c r="H12" s="1">
        <v>0.12</v>
      </c>
      <c r="I12" s="1" t="s">
        <v>23</v>
      </c>
      <c r="J12" s="1" t="s">
        <v>57</v>
      </c>
      <c r="K12" s="1" t="s">
        <v>30</v>
      </c>
      <c r="L12" s="1" t="s">
        <v>58</v>
      </c>
      <c r="M12" s="1" t="s">
        <v>59</v>
      </c>
    </row>
    <row r="13" spans="1:13" x14ac:dyDescent="0.3">
      <c r="A13" s="1" t="s">
        <v>60</v>
      </c>
      <c r="B13" s="1">
        <v>99</v>
      </c>
      <c r="C13" s="1">
        <v>15</v>
      </c>
      <c r="D13" s="1" t="s">
        <v>677</v>
      </c>
      <c r="E13" s="1" t="s">
        <v>673</v>
      </c>
      <c r="F13" s="1">
        <v>0.95</v>
      </c>
      <c r="G13" s="1" t="s">
        <v>61</v>
      </c>
      <c r="H13" s="1">
        <v>0.06</v>
      </c>
      <c r="I13" s="1" t="s">
        <v>62</v>
      </c>
      <c r="J13" s="1" t="s">
        <v>63</v>
      </c>
      <c r="K13" s="1" t="s">
        <v>40</v>
      </c>
      <c r="L13" s="1" t="s">
        <v>64</v>
      </c>
      <c r="M13" s="1" t="s">
        <v>15</v>
      </c>
    </row>
    <row r="14" spans="1:13" x14ac:dyDescent="0.3">
      <c r="A14" s="1" t="s">
        <v>65</v>
      </c>
      <c r="B14" s="1">
        <v>61</v>
      </c>
      <c r="C14" s="1">
        <v>5</v>
      </c>
      <c r="D14" s="1" t="s">
        <v>681</v>
      </c>
      <c r="E14" s="1" t="s">
        <v>665</v>
      </c>
      <c r="F14" s="1">
        <v>0.3</v>
      </c>
      <c r="G14" s="1" t="s">
        <v>66</v>
      </c>
      <c r="H14" s="1">
        <v>0.1</v>
      </c>
      <c r="I14" s="1" t="s">
        <v>23</v>
      </c>
      <c r="J14" s="1" t="s">
        <v>67</v>
      </c>
      <c r="K14" s="1" t="s">
        <v>40</v>
      </c>
      <c r="L14" s="1" t="s">
        <v>68</v>
      </c>
      <c r="M14" s="1" t="s">
        <v>69</v>
      </c>
    </row>
    <row r="15" spans="1:13" x14ac:dyDescent="0.3">
      <c r="A15" s="1" t="s">
        <v>70</v>
      </c>
      <c r="B15" s="1">
        <v>99</v>
      </c>
      <c r="C15" s="1">
        <v>10</v>
      </c>
      <c r="D15" s="1" t="s">
        <v>682</v>
      </c>
      <c r="E15" s="1" t="s">
        <v>678</v>
      </c>
      <c r="F15" s="1">
        <v>0.15</v>
      </c>
      <c r="G15" s="1" t="s">
        <v>71</v>
      </c>
      <c r="H15" s="1">
        <v>0.18</v>
      </c>
      <c r="I15" s="1" t="s">
        <v>23</v>
      </c>
      <c r="J15" s="1" t="s">
        <v>72</v>
      </c>
      <c r="K15" s="1" t="s">
        <v>73</v>
      </c>
      <c r="L15" s="1" t="s">
        <v>54</v>
      </c>
      <c r="M15" s="1" t="s">
        <v>74</v>
      </c>
    </row>
    <row r="16" spans="1:13" x14ac:dyDescent="0.3">
      <c r="A16" s="1" t="s">
        <v>75</v>
      </c>
      <c r="B16" s="1">
        <v>173</v>
      </c>
      <c r="C16" s="1">
        <v>8</v>
      </c>
      <c r="D16" s="1" t="s">
        <v>683</v>
      </c>
      <c r="E16" s="1" t="s">
        <v>684</v>
      </c>
      <c r="F16" s="1" t="s">
        <v>685</v>
      </c>
      <c r="G16" s="1" t="s">
        <v>76</v>
      </c>
      <c r="H16" s="1">
        <v>0.14000000000000001</v>
      </c>
      <c r="I16" s="1" t="s">
        <v>23</v>
      </c>
      <c r="J16" s="1" t="s">
        <v>77</v>
      </c>
      <c r="K16" s="1" t="s">
        <v>40</v>
      </c>
      <c r="L16" s="1" t="s">
        <v>58</v>
      </c>
      <c r="M16" s="1" t="s">
        <v>15</v>
      </c>
    </row>
    <row r="17" spans="1:13" x14ac:dyDescent="0.3">
      <c r="A17" s="1" t="s">
        <v>78</v>
      </c>
      <c r="B17" s="1">
        <v>95</v>
      </c>
      <c r="C17" s="1">
        <v>6</v>
      </c>
      <c r="D17" s="1" t="s">
        <v>105</v>
      </c>
      <c r="E17" s="1" t="s">
        <v>686</v>
      </c>
      <c r="F17" s="1">
        <v>0.98</v>
      </c>
      <c r="G17" s="1" t="s">
        <v>79</v>
      </c>
      <c r="H17" s="1">
        <v>0.08</v>
      </c>
      <c r="I17" s="1" t="s">
        <v>34</v>
      </c>
      <c r="J17" s="1" t="s">
        <v>80</v>
      </c>
      <c r="K17" s="1" t="s">
        <v>40</v>
      </c>
      <c r="L17" s="1" t="s">
        <v>36</v>
      </c>
      <c r="M17" s="1" t="s">
        <v>15</v>
      </c>
    </row>
    <row r="18" spans="1:13" x14ac:dyDescent="0.3">
      <c r="A18" s="1" t="s">
        <v>81</v>
      </c>
      <c r="B18" s="1">
        <v>84</v>
      </c>
      <c r="C18" s="1">
        <v>3</v>
      </c>
      <c r="D18" s="1" t="s">
        <v>681</v>
      </c>
      <c r="E18" s="1" t="s">
        <v>667</v>
      </c>
      <c r="F18" s="1">
        <v>0.2</v>
      </c>
      <c r="G18" s="1" t="s">
        <v>82</v>
      </c>
      <c r="H18" s="1">
        <v>0.15</v>
      </c>
      <c r="I18" s="1" t="s">
        <v>23</v>
      </c>
      <c r="J18" s="1" t="s">
        <v>83</v>
      </c>
      <c r="K18" s="1" t="s">
        <v>40</v>
      </c>
      <c r="L18" s="1" t="s">
        <v>84</v>
      </c>
      <c r="M18" s="1" t="s">
        <v>15</v>
      </c>
    </row>
    <row r="19" spans="1:13" x14ac:dyDescent="0.3">
      <c r="A19" s="1" t="s">
        <v>85</v>
      </c>
      <c r="B19" s="1">
        <v>143</v>
      </c>
      <c r="C19" s="1">
        <v>5</v>
      </c>
      <c r="D19" s="1" t="s">
        <v>682</v>
      </c>
      <c r="E19" s="1" t="s">
        <v>665</v>
      </c>
      <c r="F19" s="1">
        <v>0.35</v>
      </c>
      <c r="G19" s="1" t="s">
        <v>86</v>
      </c>
      <c r="H19" s="1">
        <v>7.0000000000000007E-2</v>
      </c>
      <c r="I19" s="1" t="s">
        <v>34</v>
      </c>
      <c r="J19" s="1" t="s">
        <v>87</v>
      </c>
      <c r="K19" s="1" t="s">
        <v>40</v>
      </c>
      <c r="L19" s="1" t="s">
        <v>41</v>
      </c>
      <c r="M19" s="1" t="s">
        <v>15</v>
      </c>
    </row>
    <row r="20" spans="1:13" x14ac:dyDescent="0.3">
      <c r="A20" s="1" t="s">
        <v>88</v>
      </c>
      <c r="B20" s="1">
        <v>144</v>
      </c>
      <c r="C20" s="1">
        <v>4</v>
      </c>
      <c r="D20" s="1" t="s">
        <v>105</v>
      </c>
      <c r="E20" s="1" t="s">
        <v>687</v>
      </c>
      <c r="F20" s="1">
        <v>0.25</v>
      </c>
      <c r="G20" s="1" t="s">
        <v>89</v>
      </c>
      <c r="H20" s="1">
        <v>0.09</v>
      </c>
      <c r="I20" s="1" t="s">
        <v>23</v>
      </c>
      <c r="J20" s="1" t="s">
        <v>90</v>
      </c>
      <c r="K20" s="1" t="s">
        <v>40</v>
      </c>
      <c r="L20" s="1" t="s">
        <v>91</v>
      </c>
      <c r="M20" s="1" t="s">
        <v>15</v>
      </c>
    </row>
    <row r="21" spans="1:13" x14ac:dyDescent="0.3">
      <c r="A21" s="1" t="s">
        <v>347</v>
      </c>
      <c r="B21" s="1">
        <v>121</v>
      </c>
      <c r="C21" s="1">
        <v>5</v>
      </c>
      <c r="D21" s="1" t="s">
        <v>681</v>
      </c>
      <c r="E21" s="1" t="s">
        <v>670</v>
      </c>
      <c r="F21" s="1">
        <v>0.8</v>
      </c>
      <c r="G21" s="1" t="s">
        <v>688</v>
      </c>
      <c r="H21" s="1">
        <v>7.0000000000000007E-2</v>
      </c>
      <c r="I21" s="1" t="s">
        <v>34</v>
      </c>
      <c r="J21" s="1" t="s">
        <v>689</v>
      </c>
      <c r="K21" s="1" t="s">
        <v>40</v>
      </c>
      <c r="L21" s="1" t="s">
        <v>36</v>
      </c>
      <c r="M21" s="1" t="s">
        <v>15</v>
      </c>
    </row>
    <row r="22" spans="1:13" x14ac:dyDescent="0.3">
      <c r="A22" s="1" t="s">
        <v>656</v>
      </c>
      <c r="B22" s="1">
        <v>2</v>
      </c>
      <c r="C22" s="1">
        <v>0</v>
      </c>
      <c r="D22" s="1" t="s">
        <v>690</v>
      </c>
      <c r="E22" s="1" t="s">
        <v>691</v>
      </c>
      <c r="F22" s="1">
        <v>50</v>
      </c>
      <c r="G22" s="1" t="s">
        <v>692</v>
      </c>
      <c r="H22" s="1" t="s">
        <v>693</v>
      </c>
      <c r="I22" s="1" t="s">
        <v>693</v>
      </c>
      <c r="J22" s="1" t="s">
        <v>694</v>
      </c>
      <c r="K22" s="1" t="s">
        <v>693</v>
      </c>
      <c r="L22" s="1" t="s">
        <v>695</v>
      </c>
      <c r="M22" s="1" t="s">
        <v>696</v>
      </c>
    </row>
    <row r="23" spans="1:13" x14ac:dyDescent="0.3">
      <c r="A23" s="1" t="s">
        <v>697</v>
      </c>
      <c r="B23" s="1">
        <v>3</v>
      </c>
      <c r="C23" s="1">
        <v>0</v>
      </c>
      <c r="D23" s="1" t="s">
        <v>698</v>
      </c>
      <c r="E23" s="1" t="s">
        <v>699</v>
      </c>
      <c r="F23" s="1">
        <v>100</v>
      </c>
      <c r="G23" s="1" t="s">
        <v>700</v>
      </c>
      <c r="H23" s="1">
        <v>0.06</v>
      </c>
      <c r="I23" s="1" t="s">
        <v>693</v>
      </c>
      <c r="J23" s="1" t="s">
        <v>701</v>
      </c>
      <c r="K23" s="1" t="s">
        <v>693</v>
      </c>
      <c r="L23" s="1" t="s">
        <v>702</v>
      </c>
      <c r="M23" s="1" t="s">
        <v>703</v>
      </c>
    </row>
    <row r="24" spans="1:13" x14ac:dyDescent="0.3">
      <c r="A24" s="1" t="s">
        <v>619</v>
      </c>
      <c r="B24" s="1">
        <v>5</v>
      </c>
      <c r="C24" s="1">
        <v>0</v>
      </c>
      <c r="D24" s="1" t="s">
        <v>704</v>
      </c>
      <c r="E24" s="1" t="s">
        <v>667</v>
      </c>
      <c r="F24" s="1">
        <v>60</v>
      </c>
      <c r="G24" s="1" t="s">
        <v>705</v>
      </c>
      <c r="H24" s="1" t="s">
        <v>706</v>
      </c>
      <c r="I24" s="1"/>
      <c r="J24" s="1" t="s">
        <v>707</v>
      </c>
      <c r="K24" s="1" t="s">
        <v>693</v>
      </c>
      <c r="L24" s="1" t="s">
        <v>708</v>
      </c>
      <c r="M24" s="1" t="s">
        <v>709</v>
      </c>
    </row>
    <row r="25" spans="1:13" x14ac:dyDescent="0.3">
      <c r="A25" s="1" t="s">
        <v>333</v>
      </c>
      <c r="B25" s="1">
        <v>1</v>
      </c>
      <c r="C25" s="1">
        <v>0</v>
      </c>
      <c r="D25" s="1" t="s">
        <v>710</v>
      </c>
      <c r="E25" s="1" t="s">
        <v>711</v>
      </c>
      <c r="F25" s="1" t="s">
        <v>693</v>
      </c>
      <c r="G25" s="1" t="s">
        <v>712</v>
      </c>
      <c r="H25" s="1">
        <v>7.0000000000000007E-2</v>
      </c>
      <c r="I25" s="1" t="s">
        <v>693</v>
      </c>
      <c r="J25" s="1" t="s">
        <v>693</v>
      </c>
      <c r="K25" s="1" t="s">
        <v>713</v>
      </c>
      <c r="L25" s="1" t="s">
        <v>693</v>
      </c>
      <c r="M25" s="1" t="s">
        <v>714</v>
      </c>
    </row>
    <row r="26" spans="1:13" x14ac:dyDescent="0.3">
      <c r="A26" s="1" t="s">
        <v>602</v>
      </c>
      <c r="B26" s="1">
        <v>4</v>
      </c>
      <c r="C26" s="1">
        <v>0</v>
      </c>
      <c r="D26" s="1" t="s">
        <v>715</v>
      </c>
      <c r="E26" s="1" t="s">
        <v>676</v>
      </c>
      <c r="F26" s="1" t="s">
        <v>693</v>
      </c>
      <c r="G26" s="1" t="s">
        <v>716</v>
      </c>
      <c r="H26" s="1" t="s">
        <v>717</v>
      </c>
      <c r="I26" s="1" t="s">
        <v>693</v>
      </c>
      <c r="J26" s="1" t="s">
        <v>718</v>
      </c>
      <c r="K26" s="1" t="s">
        <v>719</v>
      </c>
      <c r="L26" s="1" t="s">
        <v>720</v>
      </c>
      <c r="M26" s="1" t="s">
        <v>721</v>
      </c>
    </row>
    <row r="27" spans="1:13" x14ac:dyDescent="0.3">
      <c r="A27" s="1" t="s">
        <v>535</v>
      </c>
      <c r="B27" s="1">
        <v>1</v>
      </c>
      <c r="C27" s="1">
        <v>0</v>
      </c>
      <c r="D27" s="1" t="s">
        <v>710</v>
      </c>
      <c r="E27" s="1" t="s">
        <v>722</v>
      </c>
      <c r="F27" s="1" t="s">
        <v>693</v>
      </c>
      <c r="G27" s="1" t="s">
        <v>723</v>
      </c>
      <c r="H27" s="1" t="s">
        <v>693</v>
      </c>
      <c r="I27" s="1" t="s">
        <v>693</v>
      </c>
      <c r="J27" s="1" t="s">
        <v>724</v>
      </c>
      <c r="K27" s="1" t="s">
        <v>725</v>
      </c>
      <c r="L27" s="1" t="s">
        <v>726</v>
      </c>
      <c r="M27" s="1" t="s">
        <v>727</v>
      </c>
    </row>
    <row r="28" spans="1:13" x14ac:dyDescent="0.3">
      <c r="A28" s="1" t="s">
        <v>328</v>
      </c>
      <c r="B28" s="1">
        <v>34</v>
      </c>
      <c r="C28" s="1">
        <v>0</v>
      </c>
      <c r="D28" s="1" t="s">
        <v>728</v>
      </c>
      <c r="E28" s="1" t="s">
        <v>672</v>
      </c>
      <c r="F28" s="1" t="s">
        <v>693</v>
      </c>
      <c r="G28" s="1" t="s">
        <v>729</v>
      </c>
      <c r="H28" s="1">
        <v>0.1</v>
      </c>
      <c r="I28" s="1" t="s">
        <v>693</v>
      </c>
      <c r="J28" s="1" t="s">
        <v>730</v>
      </c>
      <c r="K28" s="1" t="s">
        <v>731</v>
      </c>
      <c r="L28" s="1" t="s">
        <v>732</v>
      </c>
      <c r="M28" s="1" t="s">
        <v>733</v>
      </c>
    </row>
    <row r="29" spans="1:13" x14ac:dyDescent="0.3">
      <c r="A29" s="1" t="s">
        <v>627</v>
      </c>
      <c r="B29" s="1">
        <v>6</v>
      </c>
      <c r="C29" s="1">
        <v>0</v>
      </c>
      <c r="D29" s="1" t="s">
        <v>734</v>
      </c>
      <c r="E29" s="1" t="s">
        <v>677</v>
      </c>
      <c r="F29" s="1" t="s">
        <v>693</v>
      </c>
      <c r="G29" s="1" t="s">
        <v>735</v>
      </c>
      <c r="H29" s="1">
        <v>0.12</v>
      </c>
      <c r="I29" s="1" t="s">
        <v>693</v>
      </c>
      <c r="J29" s="1" t="s">
        <v>736</v>
      </c>
      <c r="K29" s="1" t="s">
        <v>737</v>
      </c>
      <c r="L29" s="1" t="s">
        <v>738</v>
      </c>
      <c r="M29" s="1" t="s">
        <v>739</v>
      </c>
    </row>
    <row r="30" spans="1:13" x14ac:dyDescent="0.3">
      <c r="A30" s="1" t="s">
        <v>335</v>
      </c>
      <c r="B30" s="1">
        <v>68</v>
      </c>
      <c r="C30" s="1">
        <v>0</v>
      </c>
      <c r="D30" s="1" t="s">
        <v>740</v>
      </c>
      <c r="E30" s="1" t="s">
        <v>741</v>
      </c>
      <c r="F30" s="1" t="s">
        <v>693</v>
      </c>
      <c r="G30" s="1" t="s">
        <v>742</v>
      </c>
      <c r="H30" s="1">
        <v>0.05</v>
      </c>
      <c r="I30" s="1" t="s">
        <v>693</v>
      </c>
      <c r="J30" s="1" t="s">
        <v>743</v>
      </c>
      <c r="K30" s="1" t="s">
        <v>744</v>
      </c>
      <c r="L30" s="1" t="s">
        <v>745</v>
      </c>
      <c r="M30" s="1" t="s">
        <v>746</v>
      </c>
    </row>
    <row r="31" spans="1:13" x14ac:dyDescent="0.3">
      <c r="A31" s="1" t="s">
        <v>625</v>
      </c>
      <c r="B31" s="1">
        <v>3</v>
      </c>
      <c r="C31" s="1">
        <v>0</v>
      </c>
      <c r="D31" s="1" t="s">
        <v>698</v>
      </c>
      <c r="E31" s="1" t="s">
        <v>677</v>
      </c>
      <c r="F31" s="1" t="s">
        <v>693</v>
      </c>
      <c r="G31" s="1" t="s">
        <v>747</v>
      </c>
      <c r="H31" s="1" t="s">
        <v>748</v>
      </c>
      <c r="I31" s="1" t="s">
        <v>693</v>
      </c>
      <c r="J31" s="1" t="s">
        <v>749</v>
      </c>
      <c r="K31" s="1" t="s">
        <v>750</v>
      </c>
      <c r="L31" s="1" t="s">
        <v>751</v>
      </c>
      <c r="M31" s="1" t="s">
        <v>752</v>
      </c>
    </row>
    <row r="32" spans="1:13" x14ac:dyDescent="0.3">
      <c r="A32" s="1" t="s">
        <v>528</v>
      </c>
      <c r="B32" s="1">
        <v>3</v>
      </c>
      <c r="C32" s="1">
        <v>0</v>
      </c>
      <c r="D32" s="1" t="s">
        <v>698</v>
      </c>
      <c r="E32" s="1" t="s">
        <v>711</v>
      </c>
      <c r="F32" s="1" t="s">
        <v>693</v>
      </c>
      <c r="G32" s="1" t="s">
        <v>753</v>
      </c>
      <c r="H32" s="1" t="s">
        <v>693</v>
      </c>
      <c r="I32" s="1" t="s">
        <v>693</v>
      </c>
      <c r="J32" s="1" t="s">
        <v>754</v>
      </c>
      <c r="K32" s="1" t="s">
        <v>755</v>
      </c>
      <c r="L32" s="1" t="s">
        <v>756</v>
      </c>
      <c r="M32" s="1" t="s">
        <v>757</v>
      </c>
    </row>
    <row r="33" spans="1:13" x14ac:dyDescent="0.3">
      <c r="A33" s="1" t="s">
        <v>230</v>
      </c>
      <c r="B33" s="1">
        <v>5</v>
      </c>
      <c r="C33" s="1">
        <v>0</v>
      </c>
      <c r="D33" s="1" t="s">
        <v>704</v>
      </c>
      <c r="E33" s="1" t="s">
        <v>670</v>
      </c>
      <c r="F33" s="1" t="s">
        <v>693</v>
      </c>
      <c r="G33" s="1" t="s">
        <v>758</v>
      </c>
      <c r="H33" s="1" t="s">
        <v>759</v>
      </c>
      <c r="I33" s="1" t="s">
        <v>693</v>
      </c>
      <c r="J33" s="1" t="s">
        <v>760</v>
      </c>
      <c r="K33" s="1" t="s">
        <v>761</v>
      </c>
      <c r="L33" s="1" t="s">
        <v>762</v>
      </c>
      <c r="M33" s="1" t="s">
        <v>763</v>
      </c>
    </row>
    <row r="34" spans="1:13" x14ac:dyDescent="0.3">
      <c r="A34" s="1" t="s">
        <v>228</v>
      </c>
      <c r="B34" s="1">
        <v>20</v>
      </c>
      <c r="C34" s="1">
        <v>0</v>
      </c>
      <c r="D34" s="1" t="s">
        <v>764</v>
      </c>
      <c r="E34" s="1" t="s">
        <v>765</v>
      </c>
      <c r="F34" s="1" t="s">
        <v>693</v>
      </c>
      <c r="G34" s="1" t="s">
        <v>766</v>
      </c>
      <c r="H34" s="1" t="s">
        <v>767</v>
      </c>
      <c r="I34" s="1" t="s">
        <v>693</v>
      </c>
      <c r="J34" s="1" t="s">
        <v>768</v>
      </c>
      <c r="K34" s="1" t="s">
        <v>769</v>
      </c>
      <c r="L34" s="1" t="s">
        <v>770</v>
      </c>
      <c r="M34" s="1" t="s">
        <v>771</v>
      </c>
    </row>
    <row r="35" spans="1:13" x14ac:dyDescent="0.3">
      <c r="A35" s="1" t="s">
        <v>513</v>
      </c>
      <c r="B35" s="1">
        <v>3</v>
      </c>
      <c r="C35" s="1">
        <v>0</v>
      </c>
      <c r="D35" s="1" t="s">
        <v>698</v>
      </c>
      <c r="E35" s="1" t="s">
        <v>681</v>
      </c>
      <c r="F35" s="1" t="s">
        <v>693</v>
      </c>
      <c r="G35" s="1" t="s">
        <v>753</v>
      </c>
      <c r="H35" s="1" t="s">
        <v>693</v>
      </c>
      <c r="I35" s="1" t="s">
        <v>693</v>
      </c>
      <c r="J35" s="1" t="s">
        <v>772</v>
      </c>
      <c r="K35" s="1" t="s">
        <v>773</v>
      </c>
      <c r="L35" s="1" t="s">
        <v>774</v>
      </c>
      <c r="M35" s="1" t="s">
        <v>775</v>
      </c>
    </row>
    <row r="36" spans="1:13" x14ac:dyDescent="0.3">
      <c r="A36" s="1" t="s">
        <v>323</v>
      </c>
      <c r="B36" s="1">
        <v>6</v>
      </c>
      <c r="C36" s="1">
        <v>0</v>
      </c>
      <c r="D36" s="1" t="s">
        <v>734</v>
      </c>
      <c r="E36" s="1" t="s">
        <v>665</v>
      </c>
      <c r="F36" s="1" t="s">
        <v>693</v>
      </c>
      <c r="G36" s="1" t="s">
        <v>776</v>
      </c>
      <c r="H36" s="1" t="s">
        <v>777</v>
      </c>
      <c r="I36" s="1" t="s">
        <v>693</v>
      </c>
      <c r="J36" s="1" t="s">
        <v>778</v>
      </c>
      <c r="K36" s="1" t="s">
        <v>779</v>
      </c>
      <c r="L36" s="1" t="s">
        <v>780</v>
      </c>
      <c r="M36" s="1" t="s">
        <v>781</v>
      </c>
    </row>
    <row r="37" spans="1:13" x14ac:dyDescent="0.3">
      <c r="A37" s="1" t="s">
        <v>331</v>
      </c>
      <c r="B37" s="1">
        <v>32</v>
      </c>
      <c r="C37" s="1">
        <v>0</v>
      </c>
      <c r="D37" s="1" t="s">
        <v>683</v>
      </c>
      <c r="E37" s="1" t="s">
        <v>684</v>
      </c>
      <c r="F37" s="1" t="s">
        <v>693</v>
      </c>
      <c r="G37" s="1" t="s">
        <v>782</v>
      </c>
      <c r="H37" s="1" t="s">
        <v>783</v>
      </c>
      <c r="I37" s="1" t="s">
        <v>693</v>
      </c>
      <c r="J37" s="1" t="s">
        <v>784</v>
      </c>
      <c r="K37" s="1" t="s">
        <v>785</v>
      </c>
      <c r="L37" s="1" t="s">
        <v>786</v>
      </c>
      <c r="M37" s="1" t="s">
        <v>787</v>
      </c>
    </row>
    <row r="38" spans="1:13" x14ac:dyDescent="0.3">
      <c r="A38" s="1" t="s">
        <v>553</v>
      </c>
      <c r="B38" s="1">
        <v>1</v>
      </c>
      <c r="C38" s="1">
        <v>0</v>
      </c>
      <c r="D38" s="1" t="s">
        <v>710</v>
      </c>
      <c r="E38" s="1" t="s">
        <v>788</v>
      </c>
      <c r="F38" s="1">
        <v>50</v>
      </c>
      <c r="G38" s="1" t="s">
        <v>789</v>
      </c>
      <c r="H38" s="1" t="s">
        <v>693</v>
      </c>
      <c r="I38" s="1" t="s">
        <v>693</v>
      </c>
      <c r="J38" s="1" t="s">
        <v>790</v>
      </c>
      <c r="K38" s="1" t="s">
        <v>791</v>
      </c>
      <c r="L38" s="1" t="s">
        <v>792</v>
      </c>
      <c r="M38" s="1" t="s">
        <v>793</v>
      </c>
    </row>
    <row r="39" spans="1:13" x14ac:dyDescent="0.3">
      <c r="A39" s="1" t="s">
        <v>606</v>
      </c>
      <c r="B39" s="1">
        <v>4</v>
      </c>
      <c r="C39" s="1">
        <v>0</v>
      </c>
      <c r="D39" s="1" t="s">
        <v>715</v>
      </c>
      <c r="E39" s="1" t="s">
        <v>794</v>
      </c>
      <c r="F39" s="1">
        <v>40</v>
      </c>
      <c r="G39" s="1" t="s">
        <v>795</v>
      </c>
      <c r="H39" s="1" t="s">
        <v>693</v>
      </c>
      <c r="I39" s="1" t="s">
        <v>693</v>
      </c>
      <c r="J39" s="1" t="s">
        <v>796</v>
      </c>
      <c r="K39" s="1" t="s">
        <v>797</v>
      </c>
      <c r="L39" s="1" t="s">
        <v>798</v>
      </c>
      <c r="M39" s="1" t="s">
        <v>799</v>
      </c>
    </row>
    <row r="40" spans="1:13" x14ac:dyDescent="0.3">
      <c r="A40" s="1" t="s">
        <v>530</v>
      </c>
      <c r="B40" s="1">
        <v>3</v>
      </c>
      <c r="C40" s="1">
        <v>0</v>
      </c>
      <c r="D40" s="1" t="s">
        <v>698</v>
      </c>
      <c r="E40" s="1" t="s">
        <v>711</v>
      </c>
      <c r="F40" s="1" t="s">
        <v>693</v>
      </c>
      <c r="G40" s="1" t="s">
        <v>800</v>
      </c>
      <c r="H40" s="1" t="s">
        <v>693</v>
      </c>
      <c r="I40" s="1" t="s">
        <v>693</v>
      </c>
      <c r="J40" s="1" t="s">
        <v>801</v>
      </c>
      <c r="K40" s="1" t="s">
        <v>802</v>
      </c>
      <c r="L40" s="1" t="s">
        <v>803</v>
      </c>
      <c r="M40" s="1" t="s">
        <v>804</v>
      </c>
    </row>
    <row r="41" spans="1:13" x14ac:dyDescent="0.3">
      <c r="A41" s="1" t="s">
        <v>329</v>
      </c>
      <c r="B41" s="1">
        <v>3</v>
      </c>
      <c r="C41" s="1">
        <v>0</v>
      </c>
      <c r="D41" s="1" t="s">
        <v>698</v>
      </c>
      <c r="E41" s="1" t="s">
        <v>676</v>
      </c>
      <c r="F41" s="1" t="s">
        <v>693</v>
      </c>
      <c r="G41" s="1" t="s">
        <v>805</v>
      </c>
      <c r="H41" s="1" t="s">
        <v>806</v>
      </c>
      <c r="I41" s="1" t="s">
        <v>693</v>
      </c>
      <c r="J41" s="1" t="s">
        <v>807</v>
      </c>
      <c r="K41" s="1" t="s">
        <v>808</v>
      </c>
      <c r="L41" s="1" t="s">
        <v>809</v>
      </c>
      <c r="M41" s="1" t="s">
        <v>810</v>
      </c>
    </row>
    <row r="42" spans="1:13" x14ac:dyDescent="0.3">
      <c r="A42" s="1" t="s">
        <v>607</v>
      </c>
      <c r="B42" s="1">
        <v>2</v>
      </c>
      <c r="C42" s="1">
        <v>0</v>
      </c>
      <c r="D42" s="1" t="s">
        <v>690</v>
      </c>
      <c r="E42" s="1" t="s">
        <v>722</v>
      </c>
      <c r="F42" s="1" t="s">
        <v>693</v>
      </c>
      <c r="G42" s="1" t="s">
        <v>811</v>
      </c>
      <c r="H42" s="1" t="s">
        <v>693</v>
      </c>
      <c r="I42" s="1" t="s">
        <v>693</v>
      </c>
      <c r="J42" s="1" t="s">
        <v>812</v>
      </c>
      <c r="K42" s="1" t="s">
        <v>813</v>
      </c>
      <c r="L42" s="1" t="s">
        <v>814</v>
      </c>
      <c r="M42" s="1" t="s">
        <v>815</v>
      </c>
    </row>
    <row r="43" spans="1:13" x14ac:dyDescent="0.3">
      <c r="A43" s="1" t="s">
        <v>525</v>
      </c>
      <c r="B43" s="1">
        <v>5</v>
      </c>
      <c r="C43" s="1">
        <v>0</v>
      </c>
      <c r="D43" s="1" t="s">
        <v>704</v>
      </c>
      <c r="E43" s="1" t="s">
        <v>693</v>
      </c>
      <c r="F43" s="1" t="s">
        <v>693</v>
      </c>
      <c r="G43" s="1" t="s">
        <v>816</v>
      </c>
      <c r="H43" s="1" t="s">
        <v>806</v>
      </c>
      <c r="I43" s="1" t="s">
        <v>693</v>
      </c>
      <c r="J43" s="1" t="s">
        <v>817</v>
      </c>
      <c r="K43" s="1" t="s">
        <v>818</v>
      </c>
      <c r="L43" s="1" t="s">
        <v>819</v>
      </c>
      <c r="M43" s="1" t="s">
        <v>820</v>
      </c>
    </row>
    <row r="44" spans="1:13" x14ac:dyDescent="0.3">
      <c r="A44" s="1" t="s">
        <v>353</v>
      </c>
      <c r="B44" s="1">
        <v>1</v>
      </c>
      <c r="C44" s="1">
        <v>0</v>
      </c>
      <c r="D44" s="1" t="s">
        <v>710</v>
      </c>
      <c r="E44" s="1" t="s">
        <v>693</v>
      </c>
      <c r="F44" s="1" t="s">
        <v>693</v>
      </c>
      <c r="G44" s="1" t="s">
        <v>821</v>
      </c>
      <c r="H44" s="1" t="s">
        <v>822</v>
      </c>
      <c r="I44" s="1" t="s">
        <v>693</v>
      </c>
      <c r="J44" s="1" t="s">
        <v>823</v>
      </c>
      <c r="K44" s="1" t="s">
        <v>824</v>
      </c>
      <c r="L44" s="1" t="s">
        <v>825</v>
      </c>
      <c r="M44" s="1" t="s">
        <v>826</v>
      </c>
    </row>
    <row r="45" spans="1:13" x14ac:dyDescent="0.3">
      <c r="A45" s="1" t="s">
        <v>327</v>
      </c>
      <c r="B45" s="1">
        <v>27</v>
      </c>
      <c r="C45" s="1">
        <v>0</v>
      </c>
      <c r="D45" s="1" t="s">
        <v>106</v>
      </c>
      <c r="E45" s="1" t="s">
        <v>693</v>
      </c>
      <c r="F45" s="1" t="s">
        <v>693</v>
      </c>
      <c r="G45" s="1" t="s">
        <v>827</v>
      </c>
      <c r="H45" s="1" t="s">
        <v>783</v>
      </c>
      <c r="I45" s="1" t="s">
        <v>693</v>
      </c>
      <c r="J45" s="1" t="s">
        <v>828</v>
      </c>
      <c r="K45" s="1" t="s">
        <v>785</v>
      </c>
      <c r="L45" s="1" t="s">
        <v>829</v>
      </c>
      <c r="M45" s="1" t="s">
        <v>830</v>
      </c>
    </row>
    <row r="46" spans="1:13" x14ac:dyDescent="0.3">
      <c r="A46" s="1" t="s">
        <v>648</v>
      </c>
      <c r="B46" s="1">
        <v>3</v>
      </c>
      <c r="C46" s="1">
        <v>0</v>
      </c>
      <c r="D46" s="1" t="s">
        <v>698</v>
      </c>
      <c r="E46" s="1" t="s">
        <v>693</v>
      </c>
      <c r="F46" s="1" t="s">
        <v>693</v>
      </c>
      <c r="G46" s="1" t="s">
        <v>831</v>
      </c>
      <c r="H46" s="1" t="s">
        <v>806</v>
      </c>
      <c r="I46" s="1" t="s">
        <v>693</v>
      </c>
      <c r="J46" s="1" t="s">
        <v>832</v>
      </c>
      <c r="K46" s="1" t="s">
        <v>833</v>
      </c>
      <c r="L46" s="1" t="s">
        <v>834</v>
      </c>
      <c r="M46" s="1" t="s">
        <v>835</v>
      </c>
    </row>
    <row r="47" spans="1:13" x14ac:dyDescent="0.3">
      <c r="A47" s="1" t="s">
        <v>633</v>
      </c>
      <c r="B47" s="1">
        <v>2</v>
      </c>
      <c r="C47" s="1">
        <v>0</v>
      </c>
      <c r="D47" s="1" t="s">
        <v>690</v>
      </c>
      <c r="E47" s="1" t="s">
        <v>693</v>
      </c>
      <c r="F47" s="1" t="s">
        <v>693</v>
      </c>
      <c r="G47" s="1" t="s">
        <v>836</v>
      </c>
      <c r="H47" s="1" t="s">
        <v>693</v>
      </c>
      <c r="I47" s="1" t="s">
        <v>693</v>
      </c>
      <c r="J47" s="1" t="s">
        <v>837</v>
      </c>
      <c r="K47" s="1" t="s">
        <v>838</v>
      </c>
      <c r="L47" s="1" t="s">
        <v>839</v>
      </c>
      <c r="M47" s="1" t="s">
        <v>840</v>
      </c>
    </row>
    <row r="48" spans="1:13" x14ac:dyDescent="0.3">
      <c r="A48" s="1" t="s">
        <v>578</v>
      </c>
      <c r="B48" s="1">
        <v>5</v>
      </c>
      <c r="C48" s="1">
        <v>0</v>
      </c>
      <c r="D48" s="1" t="s">
        <v>704</v>
      </c>
      <c r="E48" s="1" t="s">
        <v>693</v>
      </c>
      <c r="F48" s="1" t="s">
        <v>693</v>
      </c>
      <c r="G48" s="1" t="s">
        <v>841</v>
      </c>
      <c r="H48" s="1" t="s">
        <v>842</v>
      </c>
      <c r="I48" s="1" t="s">
        <v>693</v>
      </c>
      <c r="J48" s="1" t="s">
        <v>843</v>
      </c>
      <c r="K48" s="1" t="s">
        <v>844</v>
      </c>
      <c r="L48" s="1" t="s">
        <v>845</v>
      </c>
      <c r="M48" s="1" t="s">
        <v>846</v>
      </c>
    </row>
    <row r="49" spans="1:13" x14ac:dyDescent="0.3">
      <c r="A49" s="1" t="s">
        <v>636</v>
      </c>
      <c r="B49" s="1">
        <v>2</v>
      </c>
      <c r="C49" s="1">
        <v>0</v>
      </c>
      <c r="D49" s="1" t="s">
        <v>690</v>
      </c>
      <c r="E49" s="1" t="s">
        <v>693</v>
      </c>
      <c r="F49" s="1" t="s">
        <v>693</v>
      </c>
      <c r="G49" s="1" t="s">
        <v>847</v>
      </c>
      <c r="H49" s="1" t="s">
        <v>777</v>
      </c>
      <c r="I49" s="1" t="s">
        <v>693</v>
      </c>
      <c r="J49" s="1" t="s">
        <v>848</v>
      </c>
      <c r="K49" s="1" t="s">
        <v>849</v>
      </c>
      <c r="L49" s="1" t="s">
        <v>850</v>
      </c>
      <c r="M49" s="1" t="s">
        <v>851</v>
      </c>
    </row>
    <row r="50" spans="1:13" x14ac:dyDescent="0.3">
      <c r="A50" s="1" t="s">
        <v>537</v>
      </c>
      <c r="B50" s="1">
        <v>1</v>
      </c>
      <c r="C50" s="1">
        <v>0</v>
      </c>
      <c r="D50" s="1" t="s">
        <v>710</v>
      </c>
      <c r="E50" s="1" t="s">
        <v>693</v>
      </c>
      <c r="F50" s="1" t="s">
        <v>693</v>
      </c>
      <c r="G50" s="1" t="s">
        <v>852</v>
      </c>
      <c r="H50" s="1" t="s">
        <v>693</v>
      </c>
      <c r="I50" s="1" t="s">
        <v>693</v>
      </c>
      <c r="J50" s="1" t="s">
        <v>853</v>
      </c>
      <c r="K50" s="1" t="s">
        <v>854</v>
      </c>
      <c r="L50" s="1" t="s">
        <v>855</v>
      </c>
      <c r="M50" s="1" t="s">
        <v>856</v>
      </c>
    </row>
    <row r="51" spans="1:13" x14ac:dyDescent="0.3">
      <c r="A51" s="1" t="s">
        <v>652</v>
      </c>
      <c r="B51" s="1">
        <v>0</v>
      </c>
      <c r="C51" s="1">
        <v>0</v>
      </c>
      <c r="D51" s="1" t="s">
        <v>857</v>
      </c>
      <c r="E51" s="1" t="s">
        <v>693</v>
      </c>
      <c r="F51" s="1" t="s">
        <v>693</v>
      </c>
      <c r="G51" s="1" t="s">
        <v>858</v>
      </c>
      <c r="H51" s="1" t="s">
        <v>693</v>
      </c>
      <c r="I51" s="1" t="s">
        <v>693</v>
      </c>
      <c r="J51" s="1" t="s">
        <v>859</v>
      </c>
      <c r="K51" s="1" t="s">
        <v>860</v>
      </c>
      <c r="L51" s="1" t="s">
        <v>861</v>
      </c>
      <c r="M51" s="1" t="s">
        <v>862</v>
      </c>
    </row>
    <row r="52" spans="1:13" x14ac:dyDescent="0.3">
      <c r="A52" s="1" t="s">
        <v>641</v>
      </c>
      <c r="B52" s="1">
        <v>2</v>
      </c>
      <c r="C52" s="1">
        <v>0</v>
      </c>
      <c r="D52" s="1" t="s">
        <v>690</v>
      </c>
      <c r="E52" s="1" t="s">
        <v>693</v>
      </c>
      <c r="F52" s="1" t="s">
        <v>693</v>
      </c>
      <c r="G52" s="1" t="s">
        <v>863</v>
      </c>
      <c r="H52" s="1" t="s">
        <v>864</v>
      </c>
      <c r="I52" s="1" t="s">
        <v>693</v>
      </c>
      <c r="J52" s="1" t="s">
        <v>865</v>
      </c>
      <c r="K52" s="1" t="s">
        <v>866</v>
      </c>
      <c r="L52" s="1" t="s">
        <v>867</v>
      </c>
      <c r="M52" s="1" t="s">
        <v>868</v>
      </c>
    </row>
    <row r="53" spans="1:13" x14ac:dyDescent="0.3">
      <c r="A53" s="1" t="s">
        <v>574</v>
      </c>
      <c r="B53" s="1">
        <v>31</v>
      </c>
      <c r="C53" s="1">
        <v>0</v>
      </c>
      <c r="D53" s="1" t="s">
        <v>869</v>
      </c>
      <c r="E53" s="1" t="s">
        <v>693</v>
      </c>
      <c r="F53" s="1" t="s">
        <v>693</v>
      </c>
      <c r="G53" s="1" t="s">
        <v>870</v>
      </c>
      <c r="H53" s="1" t="s">
        <v>871</v>
      </c>
      <c r="I53" s="1" t="s">
        <v>693</v>
      </c>
      <c r="J53" s="1" t="s">
        <v>872</v>
      </c>
      <c r="K53" s="1" t="s">
        <v>873</v>
      </c>
      <c r="L53" s="1" t="s">
        <v>874</v>
      </c>
      <c r="M53" s="1" t="s">
        <v>875</v>
      </c>
    </row>
    <row r="54" spans="1:13" x14ac:dyDescent="0.3">
      <c r="A54" s="1" t="s">
        <v>624</v>
      </c>
      <c r="B54" s="1">
        <v>31</v>
      </c>
      <c r="C54" s="1">
        <v>0</v>
      </c>
      <c r="D54" s="1" t="s">
        <v>869</v>
      </c>
      <c r="E54" s="1" t="s">
        <v>693</v>
      </c>
      <c r="F54" s="1" t="s">
        <v>693</v>
      </c>
      <c r="G54" s="1" t="s">
        <v>870</v>
      </c>
      <c r="H54" s="1" t="s">
        <v>871</v>
      </c>
      <c r="I54" s="1" t="s">
        <v>693</v>
      </c>
      <c r="J54" s="1" t="s">
        <v>872</v>
      </c>
      <c r="K54" s="1" t="s">
        <v>873</v>
      </c>
      <c r="L54" s="1" t="s">
        <v>874</v>
      </c>
      <c r="M54" s="1" t="s">
        <v>875</v>
      </c>
    </row>
    <row r="55" spans="1:13" x14ac:dyDescent="0.3">
      <c r="A55" s="1" t="s">
        <v>593</v>
      </c>
      <c r="B55" s="1">
        <v>1</v>
      </c>
      <c r="C55" s="1">
        <v>0</v>
      </c>
      <c r="D55" s="1" t="s">
        <v>710</v>
      </c>
      <c r="E55" s="1" t="s">
        <v>693</v>
      </c>
      <c r="F55" s="1" t="s">
        <v>693</v>
      </c>
      <c r="G55" s="1" t="s">
        <v>876</v>
      </c>
      <c r="H55" s="1" t="s">
        <v>693</v>
      </c>
      <c r="I55" s="1" t="s">
        <v>693</v>
      </c>
      <c r="J55" s="1" t="s">
        <v>877</v>
      </c>
      <c r="K55" s="1" t="s">
        <v>878</v>
      </c>
      <c r="L55" s="1" t="s">
        <v>879</v>
      </c>
      <c r="M55" s="1" t="s">
        <v>880</v>
      </c>
    </row>
    <row r="56" spans="1:13" x14ac:dyDescent="0.3">
      <c r="A56" s="1" t="s">
        <v>881</v>
      </c>
      <c r="B56" s="1">
        <v>2</v>
      </c>
      <c r="C56" s="1">
        <v>0</v>
      </c>
      <c r="D56" s="1" t="s">
        <v>690</v>
      </c>
      <c r="E56" s="1" t="s">
        <v>693</v>
      </c>
      <c r="F56" s="1" t="s">
        <v>693</v>
      </c>
      <c r="G56" s="1" t="s">
        <v>882</v>
      </c>
      <c r="H56" s="1" t="s">
        <v>806</v>
      </c>
      <c r="I56" s="1" t="s">
        <v>693</v>
      </c>
      <c r="J56" s="1" t="s">
        <v>883</v>
      </c>
      <c r="K56" s="1" t="s">
        <v>884</v>
      </c>
      <c r="L56" s="1" t="s">
        <v>885</v>
      </c>
      <c r="M56" s="1" t="s">
        <v>886</v>
      </c>
    </row>
    <row r="57" spans="1:13" x14ac:dyDescent="0.3">
      <c r="A57" s="1" t="s">
        <v>887</v>
      </c>
      <c r="B57" s="1">
        <v>2</v>
      </c>
      <c r="C57" s="1">
        <v>0</v>
      </c>
      <c r="D57" s="1" t="s">
        <v>690</v>
      </c>
      <c r="E57" s="1" t="s">
        <v>693</v>
      </c>
      <c r="F57" s="1" t="s">
        <v>693</v>
      </c>
      <c r="G57" s="1" t="s">
        <v>888</v>
      </c>
      <c r="H57" s="1" t="s">
        <v>777</v>
      </c>
      <c r="I57" s="1" t="s">
        <v>693</v>
      </c>
      <c r="J57" s="1" t="s">
        <v>889</v>
      </c>
      <c r="K57" s="1" t="s">
        <v>890</v>
      </c>
      <c r="L57" s="1" t="s">
        <v>891</v>
      </c>
      <c r="M57" s="1" t="s">
        <v>892</v>
      </c>
    </row>
    <row r="58" spans="1:13" x14ac:dyDescent="0.3">
      <c r="A58" s="1" t="s">
        <v>324</v>
      </c>
      <c r="B58" s="1">
        <v>10</v>
      </c>
      <c r="C58" s="1">
        <v>0</v>
      </c>
      <c r="D58" s="1" t="s">
        <v>722</v>
      </c>
      <c r="E58" s="1" t="s">
        <v>693</v>
      </c>
      <c r="F58" s="1" t="s">
        <v>693</v>
      </c>
      <c r="G58" s="1" t="s">
        <v>893</v>
      </c>
      <c r="H58" s="1" t="s">
        <v>894</v>
      </c>
      <c r="I58" s="1" t="s">
        <v>693</v>
      </c>
      <c r="J58" s="1" t="s">
        <v>895</v>
      </c>
      <c r="K58" s="1" t="s">
        <v>896</v>
      </c>
      <c r="L58" s="1" t="s">
        <v>897</v>
      </c>
      <c r="M58" s="1" t="s">
        <v>898</v>
      </c>
    </row>
    <row r="59" spans="1:13" x14ac:dyDescent="0.3">
      <c r="A59" s="1" t="s">
        <v>899</v>
      </c>
      <c r="B59" s="1">
        <v>5</v>
      </c>
      <c r="C59" s="1">
        <v>0</v>
      </c>
      <c r="D59" s="1" t="s">
        <v>704</v>
      </c>
      <c r="E59" s="1" t="s">
        <v>693</v>
      </c>
      <c r="F59" s="1" t="s">
        <v>693</v>
      </c>
      <c r="G59" s="1" t="s">
        <v>900</v>
      </c>
      <c r="H59" s="1" t="s">
        <v>901</v>
      </c>
      <c r="I59" s="1" t="s">
        <v>693</v>
      </c>
      <c r="J59" s="1" t="s">
        <v>902</v>
      </c>
      <c r="K59" s="1" t="s">
        <v>903</v>
      </c>
      <c r="L59" s="1" t="s">
        <v>904</v>
      </c>
      <c r="M59" s="1" t="s">
        <v>905</v>
      </c>
    </row>
    <row r="60" spans="1:13" x14ac:dyDescent="0.3">
      <c r="A60" s="1" t="s">
        <v>550</v>
      </c>
      <c r="B60" s="1">
        <v>18</v>
      </c>
      <c r="C60" s="1">
        <v>0</v>
      </c>
      <c r="D60" s="1" t="s">
        <v>906</v>
      </c>
      <c r="E60" s="1" t="s">
        <v>693</v>
      </c>
      <c r="F60" s="1" t="s">
        <v>693</v>
      </c>
      <c r="G60" s="1" t="s">
        <v>907</v>
      </c>
      <c r="H60" s="1" t="s">
        <v>908</v>
      </c>
      <c r="I60" s="1" t="s">
        <v>693</v>
      </c>
      <c r="J60" s="1" t="s">
        <v>909</v>
      </c>
      <c r="K60" s="1" t="s">
        <v>910</v>
      </c>
      <c r="L60" s="1" t="s">
        <v>911</v>
      </c>
      <c r="M60" s="1" t="s">
        <v>912</v>
      </c>
    </row>
    <row r="61" spans="1:13" x14ac:dyDescent="0.3">
      <c r="A61" s="1" t="s">
        <v>564</v>
      </c>
      <c r="B61" s="1">
        <v>1</v>
      </c>
      <c r="C61" s="1">
        <v>0</v>
      </c>
      <c r="D61" s="1" t="s">
        <v>710</v>
      </c>
      <c r="E61" s="1" t="s">
        <v>693</v>
      </c>
      <c r="F61" s="1" t="s">
        <v>693</v>
      </c>
      <c r="G61" s="1" t="s">
        <v>913</v>
      </c>
      <c r="H61" s="1" t="s">
        <v>693</v>
      </c>
      <c r="I61" s="1" t="s">
        <v>693</v>
      </c>
      <c r="J61" s="1" t="s">
        <v>914</v>
      </c>
      <c r="K61" s="1" t="s">
        <v>915</v>
      </c>
      <c r="L61" s="1" t="s">
        <v>916</v>
      </c>
      <c r="M61" s="1" t="s">
        <v>917</v>
      </c>
    </row>
    <row r="62" spans="1:13" x14ac:dyDescent="0.3">
      <c r="A62" s="1" t="s">
        <v>561</v>
      </c>
      <c r="B62" s="1">
        <v>2</v>
      </c>
      <c r="C62" s="1">
        <v>0</v>
      </c>
      <c r="D62" s="1" t="s">
        <v>690</v>
      </c>
      <c r="E62" s="1" t="s">
        <v>693</v>
      </c>
      <c r="F62" s="1" t="s">
        <v>693</v>
      </c>
      <c r="G62" s="1" t="s">
        <v>918</v>
      </c>
      <c r="H62" s="1" t="s">
        <v>777</v>
      </c>
      <c r="I62" s="1" t="s">
        <v>693</v>
      </c>
      <c r="J62" s="1" t="s">
        <v>919</v>
      </c>
      <c r="K62" s="1" t="s">
        <v>920</v>
      </c>
      <c r="L62" s="1" t="s">
        <v>921</v>
      </c>
      <c r="M62" s="1" t="s">
        <v>922</v>
      </c>
    </row>
    <row r="63" spans="1:13" x14ac:dyDescent="0.3">
      <c r="A63" s="1" t="s">
        <v>532</v>
      </c>
      <c r="B63" s="1">
        <v>36</v>
      </c>
      <c r="C63" s="1">
        <v>0</v>
      </c>
      <c r="D63" s="1" t="s">
        <v>923</v>
      </c>
      <c r="E63" s="1" t="s">
        <v>693</v>
      </c>
      <c r="F63" s="1" t="s">
        <v>693</v>
      </c>
      <c r="G63" s="1" t="s">
        <v>924</v>
      </c>
      <c r="H63" s="1" t="s">
        <v>925</v>
      </c>
      <c r="I63" s="1" t="s">
        <v>693</v>
      </c>
      <c r="J63" s="1" t="s">
        <v>926</v>
      </c>
      <c r="K63" s="1" t="s">
        <v>927</v>
      </c>
      <c r="L63" s="1" t="s">
        <v>928</v>
      </c>
      <c r="M63" s="1" t="s">
        <v>929</v>
      </c>
    </row>
    <row r="64" spans="1:13" x14ac:dyDescent="0.3">
      <c r="A64" s="1" t="s">
        <v>345</v>
      </c>
      <c r="B64" s="1">
        <v>42</v>
      </c>
      <c r="C64" s="1">
        <v>0</v>
      </c>
      <c r="D64" s="1" t="s">
        <v>930</v>
      </c>
      <c r="E64" s="1" t="s">
        <v>693</v>
      </c>
      <c r="F64" s="1" t="s">
        <v>693</v>
      </c>
      <c r="G64" s="1" t="s">
        <v>931</v>
      </c>
      <c r="H64" s="1" t="s">
        <v>932</v>
      </c>
      <c r="I64" s="1" t="s">
        <v>693</v>
      </c>
      <c r="J64" s="1" t="s">
        <v>933</v>
      </c>
      <c r="K64" s="1" t="s">
        <v>934</v>
      </c>
      <c r="L64" s="1" t="s">
        <v>935</v>
      </c>
      <c r="M64" s="1" t="s">
        <v>936</v>
      </c>
    </row>
    <row r="65" spans="1:13" x14ac:dyDescent="0.3">
      <c r="A65" s="1" t="s">
        <v>617</v>
      </c>
      <c r="B65" s="1">
        <v>1</v>
      </c>
      <c r="C65" s="1">
        <v>0</v>
      </c>
      <c r="D65" s="1" t="s">
        <v>710</v>
      </c>
      <c r="E65" s="1" t="s">
        <v>693</v>
      </c>
      <c r="F65" s="1" t="s">
        <v>693</v>
      </c>
      <c r="G65" s="1" t="s">
        <v>937</v>
      </c>
      <c r="H65" s="1" t="s">
        <v>806</v>
      </c>
      <c r="I65" s="1" t="s">
        <v>693</v>
      </c>
      <c r="J65" s="1" t="s">
        <v>938</v>
      </c>
      <c r="K65" s="1" t="s">
        <v>939</v>
      </c>
      <c r="L65" s="1" t="s">
        <v>940</v>
      </c>
      <c r="M65" s="1" t="s">
        <v>941</v>
      </c>
    </row>
    <row r="66" spans="1:13" x14ac:dyDescent="0.3">
      <c r="A66" s="1" t="s">
        <v>511</v>
      </c>
      <c r="B66" s="1">
        <v>1</v>
      </c>
      <c r="C66" s="1">
        <v>0</v>
      </c>
      <c r="D66" s="1" t="s">
        <v>710</v>
      </c>
      <c r="E66" s="1" t="s">
        <v>693</v>
      </c>
      <c r="F66" s="1" t="s">
        <v>693</v>
      </c>
      <c r="G66" s="1" t="s">
        <v>942</v>
      </c>
      <c r="H66" s="1" t="s">
        <v>693</v>
      </c>
      <c r="I66" s="1" t="s">
        <v>693</v>
      </c>
      <c r="J66" s="1" t="s">
        <v>943</v>
      </c>
      <c r="K66" s="1" t="s">
        <v>944</v>
      </c>
      <c r="L66" s="1" t="s">
        <v>945</v>
      </c>
      <c r="M66" s="1" t="s">
        <v>946</v>
      </c>
    </row>
    <row r="67" spans="1:13" x14ac:dyDescent="0.3">
      <c r="A67" s="1" t="s">
        <v>568</v>
      </c>
      <c r="B67" s="1">
        <v>1</v>
      </c>
      <c r="C67" s="1">
        <v>0</v>
      </c>
      <c r="D67" s="1" t="s">
        <v>710</v>
      </c>
      <c r="E67" s="1" t="s">
        <v>693</v>
      </c>
      <c r="F67" s="1" t="s">
        <v>693</v>
      </c>
      <c r="G67" s="1" t="s">
        <v>947</v>
      </c>
      <c r="H67" s="1" t="s">
        <v>871</v>
      </c>
      <c r="I67" s="1" t="s">
        <v>693</v>
      </c>
      <c r="J67" s="1" t="s">
        <v>948</v>
      </c>
      <c r="K67" s="1" t="s">
        <v>949</v>
      </c>
      <c r="L67" s="1"/>
      <c r="M67" s="1" t="s">
        <v>950</v>
      </c>
    </row>
    <row r="68" spans="1:13" x14ac:dyDescent="0.3">
      <c r="A68" s="1" t="s">
        <v>603</v>
      </c>
      <c r="B68" s="1">
        <v>7</v>
      </c>
      <c r="C68" s="1">
        <v>0</v>
      </c>
      <c r="D68" s="1" t="s">
        <v>715</v>
      </c>
      <c r="E68" s="1" t="s">
        <v>704</v>
      </c>
      <c r="F68" s="1" t="s">
        <v>951</v>
      </c>
      <c r="G68" s="1" t="s">
        <v>952</v>
      </c>
      <c r="H68" s="1">
        <v>4</v>
      </c>
      <c r="I68" s="1" t="s">
        <v>953</v>
      </c>
      <c r="J68" s="1" t="s">
        <v>954</v>
      </c>
      <c r="K68" s="1" t="s">
        <v>955</v>
      </c>
      <c r="L68" s="1"/>
      <c r="M68" s="1" t="s">
        <v>956</v>
      </c>
    </row>
    <row r="69" spans="1:13" x14ac:dyDescent="0.3">
      <c r="A69" s="1" t="s">
        <v>232</v>
      </c>
      <c r="B69" s="1">
        <v>7</v>
      </c>
      <c r="C69" s="1">
        <v>0</v>
      </c>
      <c r="D69" s="1" t="s">
        <v>715</v>
      </c>
      <c r="E69" s="1" t="s">
        <v>704</v>
      </c>
      <c r="F69" s="1" t="s">
        <v>951</v>
      </c>
      <c r="G69" s="1" t="s">
        <v>952</v>
      </c>
      <c r="H69" s="1" t="s">
        <v>957</v>
      </c>
      <c r="I69" s="1" t="s">
        <v>953</v>
      </c>
      <c r="J69" s="1" t="s">
        <v>954</v>
      </c>
      <c r="K69" s="1">
        <v>0</v>
      </c>
      <c r="L69" s="1" t="s">
        <v>955</v>
      </c>
      <c r="M69" s="1" t="s">
        <v>956</v>
      </c>
    </row>
    <row r="70" spans="1:13" x14ac:dyDescent="0.3">
      <c r="A70" s="1" t="s">
        <v>660</v>
      </c>
      <c r="B70" s="1">
        <v>3</v>
      </c>
      <c r="C70" s="1">
        <v>0</v>
      </c>
      <c r="D70" s="1" t="s">
        <v>698</v>
      </c>
      <c r="E70" s="1" t="s">
        <v>698</v>
      </c>
      <c r="F70" s="1" t="s">
        <v>958</v>
      </c>
      <c r="G70" s="1" t="s">
        <v>959</v>
      </c>
      <c r="H70" s="1" t="s">
        <v>960</v>
      </c>
      <c r="I70" s="1" t="s">
        <v>961</v>
      </c>
      <c r="J70" s="1" t="s">
        <v>962</v>
      </c>
      <c r="K70" s="1">
        <v>0</v>
      </c>
      <c r="L70" s="1" t="s">
        <v>963</v>
      </c>
      <c r="M70" s="1" t="s">
        <v>964</v>
      </c>
    </row>
    <row r="71" spans="1:13" x14ac:dyDescent="0.3">
      <c r="A71" s="1" t="s">
        <v>597</v>
      </c>
      <c r="B71" s="1">
        <v>1</v>
      </c>
      <c r="C71" s="1">
        <v>0</v>
      </c>
      <c r="D71" s="1" t="s">
        <v>710</v>
      </c>
      <c r="E71" s="1" t="s">
        <v>710</v>
      </c>
      <c r="F71" s="1">
        <v>12</v>
      </c>
      <c r="G71" s="1" t="s">
        <v>965</v>
      </c>
      <c r="H71" s="1">
        <v>3</v>
      </c>
      <c r="I71" s="1" t="s">
        <v>961</v>
      </c>
      <c r="J71" s="1" t="s">
        <v>966</v>
      </c>
      <c r="K71" s="1">
        <v>0</v>
      </c>
      <c r="L71" s="1" t="s">
        <v>967</v>
      </c>
      <c r="M71" s="1" t="s">
        <v>968</v>
      </c>
    </row>
    <row r="72" spans="1:13" x14ac:dyDescent="0.3">
      <c r="A72" s="1" t="s">
        <v>626</v>
      </c>
      <c r="B72" s="1">
        <v>1</v>
      </c>
      <c r="C72" s="1">
        <v>0</v>
      </c>
      <c r="D72" s="1" t="s">
        <v>710</v>
      </c>
      <c r="E72" s="1" t="s">
        <v>710</v>
      </c>
      <c r="F72" s="1">
        <v>10</v>
      </c>
      <c r="G72" s="1" t="s">
        <v>965</v>
      </c>
      <c r="H72" s="1">
        <v>2</v>
      </c>
      <c r="I72" s="1" t="s">
        <v>961</v>
      </c>
      <c r="J72" s="1" t="s">
        <v>969</v>
      </c>
      <c r="K72" s="1">
        <v>0</v>
      </c>
      <c r="L72" s="1" t="s">
        <v>970</v>
      </c>
      <c r="M72" s="1" t="s">
        <v>971</v>
      </c>
    </row>
    <row r="73" spans="1:13" x14ac:dyDescent="0.3">
      <c r="A73" s="1" t="s">
        <v>343</v>
      </c>
      <c r="B73" s="1">
        <v>12</v>
      </c>
      <c r="C73" s="1">
        <v>1</v>
      </c>
      <c r="D73" s="1" t="s">
        <v>972</v>
      </c>
      <c r="E73" s="1" t="s">
        <v>711</v>
      </c>
      <c r="F73" s="1">
        <v>45</v>
      </c>
      <c r="G73" s="1" t="s">
        <v>973</v>
      </c>
      <c r="H73" s="1">
        <v>8</v>
      </c>
      <c r="I73" s="1" t="s">
        <v>974</v>
      </c>
      <c r="J73" s="1" t="s">
        <v>975</v>
      </c>
      <c r="K73" s="1">
        <v>0</v>
      </c>
      <c r="L73" s="1" t="s">
        <v>976</v>
      </c>
      <c r="M73" s="1" t="s">
        <v>977</v>
      </c>
    </row>
    <row r="74" spans="1:13" x14ac:dyDescent="0.3">
      <c r="A74" s="1" t="s">
        <v>608</v>
      </c>
      <c r="B74" s="1">
        <v>2</v>
      </c>
      <c r="C74" s="1">
        <v>0</v>
      </c>
      <c r="D74" s="1" t="s">
        <v>710</v>
      </c>
      <c r="E74" s="1" t="s">
        <v>710</v>
      </c>
      <c r="F74" s="1">
        <v>10</v>
      </c>
      <c r="G74" s="1" t="s">
        <v>965</v>
      </c>
      <c r="H74" s="1">
        <v>3</v>
      </c>
      <c r="I74" s="1" t="s">
        <v>961</v>
      </c>
      <c r="J74" s="1" t="s">
        <v>978</v>
      </c>
      <c r="K74" s="1">
        <v>0</v>
      </c>
      <c r="L74" s="1" t="s">
        <v>979</v>
      </c>
      <c r="M74" s="1" t="s">
        <v>968</v>
      </c>
    </row>
    <row r="75" spans="1:13" x14ac:dyDescent="0.3">
      <c r="A75" s="1" t="s">
        <v>646</v>
      </c>
      <c r="B75" s="1">
        <v>2</v>
      </c>
      <c r="C75" s="1">
        <v>0</v>
      </c>
      <c r="D75" s="1" t="s">
        <v>690</v>
      </c>
      <c r="E75" s="1" t="s">
        <v>698</v>
      </c>
      <c r="F75" s="1">
        <v>15</v>
      </c>
      <c r="G75" s="1" t="s">
        <v>980</v>
      </c>
      <c r="H75" s="1">
        <v>4</v>
      </c>
      <c r="I75" s="1" t="s">
        <v>961</v>
      </c>
      <c r="J75" s="1" t="s">
        <v>981</v>
      </c>
      <c r="K75" s="1">
        <v>0</v>
      </c>
      <c r="L75" s="1" t="s">
        <v>982</v>
      </c>
      <c r="M75" s="1" t="s">
        <v>968</v>
      </c>
    </row>
    <row r="76" spans="1:13" x14ac:dyDescent="0.3">
      <c r="A76" s="1" t="s">
        <v>546</v>
      </c>
      <c r="B76" s="1">
        <v>2</v>
      </c>
      <c r="C76" s="1">
        <v>0</v>
      </c>
      <c r="D76" s="1" t="s">
        <v>710</v>
      </c>
      <c r="E76" s="1" t="s">
        <v>710</v>
      </c>
      <c r="F76" s="1">
        <v>20</v>
      </c>
      <c r="G76" s="1" t="s">
        <v>983</v>
      </c>
      <c r="H76" s="1">
        <v>3</v>
      </c>
      <c r="I76" s="1" t="s">
        <v>961</v>
      </c>
      <c r="J76" s="1" t="s">
        <v>984</v>
      </c>
      <c r="K76" s="1">
        <v>0</v>
      </c>
      <c r="L76" s="1" t="s">
        <v>985</v>
      </c>
      <c r="M76" s="1" t="s">
        <v>971</v>
      </c>
    </row>
    <row r="77" spans="1:13" x14ac:dyDescent="0.3">
      <c r="A77" s="1" t="s">
        <v>351</v>
      </c>
      <c r="B77" s="1">
        <v>25</v>
      </c>
      <c r="C77" s="1">
        <v>4</v>
      </c>
      <c r="D77" s="1" t="s">
        <v>788</v>
      </c>
      <c r="E77" s="1" t="s">
        <v>676</v>
      </c>
      <c r="F77" s="1">
        <v>60</v>
      </c>
      <c r="G77" s="1" t="s">
        <v>986</v>
      </c>
      <c r="H77" s="1">
        <v>12</v>
      </c>
      <c r="I77" s="1" t="s">
        <v>974</v>
      </c>
      <c r="J77" s="1" t="s">
        <v>987</v>
      </c>
      <c r="K77" s="1">
        <v>0</v>
      </c>
      <c r="L77" s="1" t="s">
        <v>988</v>
      </c>
      <c r="M77" s="1" t="s">
        <v>989</v>
      </c>
    </row>
    <row r="78" spans="1:13" x14ac:dyDescent="0.3">
      <c r="A78" s="1" t="s">
        <v>605</v>
      </c>
      <c r="B78" s="1">
        <v>3</v>
      </c>
      <c r="C78" s="1">
        <v>0</v>
      </c>
      <c r="D78" s="1" t="s">
        <v>690</v>
      </c>
      <c r="E78" s="1" t="s">
        <v>698</v>
      </c>
      <c r="F78" s="1">
        <v>15</v>
      </c>
      <c r="G78" s="1" t="s">
        <v>990</v>
      </c>
      <c r="H78" s="1">
        <v>4</v>
      </c>
      <c r="I78" s="1" t="s">
        <v>961</v>
      </c>
      <c r="J78" s="1" t="s">
        <v>991</v>
      </c>
      <c r="K78" s="1">
        <v>0</v>
      </c>
      <c r="L78" s="1" t="s">
        <v>979</v>
      </c>
      <c r="M78" s="1" t="s">
        <v>971</v>
      </c>
    </row>
    <row r="79" spans="1:13" x14ac:dyDescent="0.3">
      <c r="A79" s="1" t="s">
        <v>580</v>
      </c>
      <c r="B79" s="1">
        <v>2</v>
      </c>
      <c r="C79" s="1">
        <v>0</v>
      </c>
      <c r="D79" s="1" t="s">
        <v>710</v>
      </c>
      <c r="E79" s="1" t="s">
        <v>710</v>
      </c>
      <c r="F79" s="1">
        <v>12</v>
      </c>
      <c r="G79" s="1" t="s">
        <v>992</v>
      </c>
      <c r="H79" s="1">
        <v>3</v>
      </c>
      <c r="I79" s="1" t="s">
        <v>961</v>
      </c>
      <c r="J79" s="1" t="s">
        <v>993</v>
      </c>
      <c r="K79" s="1">
        <v>0</v>
      </c>
      <c r="L79" s="1" t="s">
        <v>979</v>
      </c>
      <c r="M79" s="1" t="s">
        <v>968</v>
      </c>
    </row>
    <row r="80" spans="1:13" x14ac:dyDescent="0.3">
      <c r="A80" s="1" t="s">
        <v>604</v>
      </c>
      <c r="B80" s="1">
        <v>8</v>
      </c>
      <c r="C80" s="1">
        <v>0</v>
      </c>
      <c r="D80" s="1" t="s">
        <v>972</v>
      </c>
      <c r="E80" s="1" t="s">
        <v>711</v>
      </c>
      <c r="F80" s="1" t="s">
        <v>994</v>
      </c>
      <c r="G80" s="1" t="s">
        <v>995</v>
      </c>
      <c r="H80" s="1" t="s">
        <v>996</v>
      </c>
      <c r="I80" s="1" t="s">
        <v>997</v>
      </c>
      <c r="J80" s="1" t="s">
        <v>998</v>
      </c>
      <c r="K80" s="1" t="s">
        <v>999</v>
      </c>
      <c r="L80" s="1" t="s">
        <v>1000</v>
      </c>
      <c r="M80" s="1" t="s">
        <v>1001</v>
      </c>
    </row>
    <row r="81" spans="1:13" x14ac:dyDescent="0.3">
      <c r="A81" s="1" t="s">
        <v>581</v>
      </c>
      <c r="B81" s="1">
        <v>7</v>
      </c>
      <c r="C81" s="1">
        <v>0</v>
      </c>
      <c r="D81" s="1" t="s">
        <v>734</v>
      </c>
      <c r="E81" s="1" t="s">
        <v>788</v>
      </c>
      <c r="F81" s="1">
        <v>70</v>
      </c>
      <c r="G81" s="1" t="s">
        <v>1002</v>
      </c>
      <c r="H81" s="1">
        <v>10</v>
      </c>
      <c r="I81" s="1" t="s">
        <v>1003</v>
      </c>
      <c r="J81" s="1" t="s">
        <v>1004</v>
      </c>
      <c r="K81" s="1" t="s">
        <v>1005</v>
      </c>
      <c r="L81" s="1" t="s">
        <v>1006</v>
      </c>
      <c r="M81" s="1" t="s">
        <v>1007</v>
      </c>
    </row>
    <row r="82" spans="1:13" x14ac:dyDescent="0.3">
      <c r="A82" s="1" t="s">
        <v>569</v>
      </c>
      <c r="B82" s="1">
        <v>15</v>
      </c>
      <c r="C82" s="1">
        <v>1</v>
      </c>
      <c r="D82" s="1" t="s">
        <v>788</v>
      </c>
      <c r="E82" s="1" t="s">
        <v>1008</v>
      </c>
      <c r="F82" s="1">
        <v>82</v>
      </c>
      <c r="G82" s="1" t="s">
        <v>1009</v>
      </c>
      <c r="H82" s="1">
        <v>14</v>
      </c>
      <c r="I82" s="1" t="s">
        <v>1010</v>
      </c>
      <c r="J82" s="1" t="s">
        <v>1011</v>
      </c>
      <c r="K82" s="1" t="s">
        <v>1012</v>
      </c>
      <c r="L82" s="1" t="s">
        <v>1013</v>
      </c>
      <c r="M82" s="1" t="s">
        <v>1014</v>
      </c>
    </row>
    <row r="83" spans="1:13" x14ac:dyDescent="0.3">
      <c r="A83" s="1" t="s">
        <v>338</v>
      </c>
      <c r="B83" s="1">
        <v>0</v>
      </c>
      <c r="C83" s="1">
        <v>0</v>
      </c>
      <c r="D83" s="1" t="s">
        <v>857</v>
      </c>
      <c r="E83" s="1" t="s">
        <v>857</v>
      </c>
      <c r="F83" s="1">
        <v>74</v>
      </c>
      <c r="G83" s="1" t="s">
        <v>1015</v>
      </c>
      <c r="H83" s="1">
        <v>5</v>
      </c>
      <c r="I83" s="1" t="s">
        <v>1016</v>
      </c>
      <c r="J83" s="1" t="s">
        <v>1017</v>
      </c>
      <c r="K83" s="1" t="s">
        <v>1005</v>
      </c>
      <c r="L83" s="1" t="s">
        <v>1018</v>
      </c>
      <c r="M83" s="1" t="s">
        <v>1019</v>
      </c>
    </row>
    <row r="84" spans="1:13" x14ac:dyDescent="0.3">
      <c r="A84" s="1" t="s">
        <v>595</v>
      </c>
      <c r="B84" s="1">
        <v>5</v>
      </c>
      <c r="C84" s="1">
        <v>0</v>
      </c>
      <c r="D84" s="1" t="s">
        <v>704</v>
      </c>
      <c r="E84" s="1" t="s">
        <v>704</v>
      </c>
      <c r="F84" s="1">
        <v>70</v>
      </c>
      <c r="G84" s="1" t="s">
        <v>1020</v>
      </c>
      <c r="H84" s="1">
        <v>6</v>
      </c>
      <c r="I84" s="1" t="s">
        <v>1021</v>
      </c>
      <c r="J84" s="1" t="s">
        <v>1022</v>
      </c>
      <c r="K84" s="1" t="s">
        <v>1005</v>
      </c>
      <c r="L84" s="1" t="s">
        <v>1023</v>
      </c>
      <c r="M84" s="1" t="s">
        <v>1024</v>
      </c>
    </row>
    <row r="85" spans="1:13" x14ac:dyDescent="0.3">
      <c r="A85" s="1" t="s">
        <v>628</v>
      </c>
      <c r="B85" s="1">
        <v>1</v>
      </c>
      <c r="C85" s="1">
        <v>0</v>
      </c>
      <c r="D85" s="1" t="s">
        <v>710</v>
      </c>
      <c r="E85" s="1" t="s">
        <v>710</v>
      </c>
      <c r="F85" s="1">
        <v>33.9</v>
      </c>
      <c r="G85" s="1" t="s">
        <v>1025</v>
      </c>
      <c r="H85" s="1">
        <v>8</v>
      </c>
      <c r="I85" s="1" t="s">
        <v>1021</v>
      </c>
      <c r="J85" s="1" t="s">
        <v>1026</v>
      </c>
      <c r="K85" s="1" t="s">
        <v>1005</v>
      </c>
      <c r="L85" s="1" t="s">
        <v>1027</v>
      </c>
      <c r="M85" s="1" t="s">
        <v>1028</v>
      </c>
    </row>
    <row r="86" spans="1:13" x14ac:dyDescent="0.3">
      <c r="A86" s="1" t="s">
        <v>601</v>
      </c>
      <c r="B86" s="1">
        <v>0</v>
      </c>
      <c r="C86" s="1">
        <v>0</v>
      </c>
      <c r="D86" s="1" t="s">
        <v>857</v>
      </c>
      <c r="E86" s="1" t="s">
        <v>857</v>
      </c>
      <c r="F86" s="1">
        <v>32.5</v>
      </c>
      <c r="G86" s="1" t="s">
        <v>1029</v>
      </c>
      <c r="H86" s="1">
        <v>3</v>
      </c>
      <c r="I86" s="1" t="s">
        <v>1016</v>
      </c>
      <c r="J86" s="1" t="s">
        <v>1030</v>
      </c>
      <c r="K86" s="1" t="s">
        <v>1005</v>
      </c>
      <c r="L86" s="1" t="s">
        <v>1031</v>
      </c>
      <c r="M86" s="1" t="s">
        <v>1032</v>
      </c>
    </row>
    <row r="87" spans="1:13" x14ac:dyDescent="0.3">
      <c r="A87" s="1" t="s">
        <v>585</v>
      </c>
      <c r="B87" s="1">
        <v>0</v>
      </c>
      <c r="C87" s="1">
        <v>0</v>
      </c>
      <c r="D87" s="1" t="s">
        <v>857</v>
      </c>
      <c r="E87" s="1" t="s">
        <v>857</v>
      </c>
      <c r="F87" s="1">
        <v>37</v>
      </c>
      <c r="G87" s="1" t="s">
        <v>1033</v>
      </c>
      <c r="H87" s="1">
        <v>15</v>
      </c>
      <c r="I87" s="1" t="s">
        <v>1034</v>
      </c>
      <c r="J87" s="1" t="s">
        <v>1035</v>
      </c>
      <c r="K87" s="1" t="s">
        <v>1036</v>
      </c>
      <c r="L87" s="1" t="s">
        <v>1037</v>
      </c>
      <c r="M87" s="1"/>
    </row>
    <row r="88" spans="1:13" x14ac:dyDescent="0.3">
      <c r="A88" s="1" t="s">
        <v>638</v>
      </c>
      <c r="B88" s="1">
        <v>0</v>
      </c>
      <c r="C88" s="1">
        <v>0</v>
      </c>
      <c r="D88" s="1" t="s">
        <v>857</v>
      </c>
      <c r="E88" s="1" t="s">
        <v>857</v>
      </c>
      <c r="F88" s="1">
        <v>39</v>
      </c>
      <c r="G88" s="1" t="s">
        <v>1038</v>
      </c>
      <c r="H88" s="1">
        <v>8</v>
      </c>
      <c r="I88" s="1" t="s">
        <v>1034</v>
      </c>
      <c r="J88" s="1" t="s">
        <v>1039</v>
      </c>
      <c r="K88" s="1" t="s">
        <v>1005</v>
      </c>
      <c r="L88" s="1" t="s">
        <v>1040</v>
      </c>
      <c r="M88" s="1" t="s">
        <v>1041</v>
      </c>
    </row>
    <row r="89" spans="1:13" x14ac:dyDescent="0.3">
      <c r="A89" s="1" t="s">
        <v>611</v>
      </c>
      <c r="B89" s="1">
        <v>4</v>
      </c>
      <c r="C89" s="1">
        <v>0</v>
      </c>
      <c r="D89" s="1" t="s">
        <v>715</v>
      </c>
      <c r="E89" s="1" t="s">
        <v>690</v>
      </c>
      <c r="F89" s="1">
        <v>66</v>
      </c>
      <c r="G89" s="1" t="s">
        <v>1042</v>
      </c>
      <c r="H89" s="1">
        <v>8</v>
      </c>
      <c r="I89" s="1" t="s">
        <v>1021</v>
      </c>
      <c r="J89" s="1" t="s">
        <v>1043</v>
      </c>
      <c r="K89" s="1" t="s">
        <v>1044</v>
      </c>
      <c r="L89" s="1" t="s">
        <v>1045</v>
      </c>
      <c r="M89" s="1" t="s">
        <v>1046</v>
      </c>
    </row>
    <row r="90" spans="1:13" x14ac:dyDescent="0.3">
      <c r="A90" s="1" t="s">
        <v>547</v>
      </c>
      <c r="B90" s="1">
        <v>19</v>
      </c>
      <c r="C90" s="1">
        <v>0</v>
      </c>
      <c r="D90" s="1" t="s">
        <v>1047</v>
      </c>
      <c r="E90" s="1" t="s">
        <v>674</v>
      </c>
      <c r="F90" s="1">
        <v>25</v>
      </c>
      <c r="G90" s="1" t="s">
        <v>1048</v>
      </c>
      <c r="H90" s="1">
        <v>4.8</v>
      </c>
      <c r="I90" s="1" t="s">
        <v>1049</v>
      </c>
      <c r="J90" s="1" t="s">
        <v>1050</v>
      </c>
      <c r="K90" s="1" t="s">
        <v>1051</v>
      </c>
      <c r="L90" s="1" t="s">
        <v>1052</v>
      </c>
      <c r="M90" s="1" t="s">
        <v>1053</v>
      </c>
    </row>
    <row r="91" spans="1:13" x14ac:dyDescent="0.3">
      <c r="A91" s="1" t="s">
        <v>352</v>
      </c>
      <c r="B91" s="1">
        <v>3</v>
      </c>
      <c r="C91" s="1">
        <v>0</v>
      </c>
      <c r="D91" s="1" t="s">
        <v>698</v>
      </c>
      <c r="E91" s="1" t="s">
        <v>665</v>
      </c>
      <c r="F91" s="1">
        <v>100</v>
      </c>
      <c r="G91" s="1" t="s">
        <v>1054</v>
      </c>
      <c r="H91" s="1">
        <v>12</v>
      </c>
      <c r="I91" s="1" t="s">
        <v>1055</v>
      </c>
      <c r="J91" s="1" t="s">
        <v>1056</v>
      </c>
      <c r="K91" s="1" t="s">
        <v>1057</v>
      </c>
      <c r="L91" s="1" t="s">
        <v>1058</v>
      </c>
      <c r="M91" s="1" t="s">
        <v>1059</v>
      </c>
    </row>
    <row r="92" spans="1:13" x14ac:dyDescent="0.3">
      <c r="A92" s="1" t="s">
        <v>643</v>
      </c>
      <c r="B92" s="1">
        <v>20</v>
      </c>
      <c r="C92" s="1">
        <v>0</v>
      </c>
      <c r="D92" s="1" t="s">
        <v>711</v>
      </c>
      <c r="E92" s="1" t="s">
        <v>682</v>
      </c>
      <c r="F92" s="1">
        <v>25</v>
      </c>
      <c r="G92" s="1" t="s">
        <v>1060</v>
      </c>
      <c r="H92" s="1">
        <v>7.1</v>
      </c>
      <c r="I92" s="1" t="s">
        <v>1061</v>
      </c>
      <c r="J92" s="1" t="s">
        <v>1062</v>
      </c>
      <c r="K92" s="1" t="s">
        <v>1063</v>
      </c>
      <c r="L92" s="1" t="s">
        <v>1064</v>
      </c>
      <c r="M92" s="1" t="s">
        <v>1065</v>
      </c>
    </row>
    <row r="93" spans="1:13" x14ac:dyDescent="0.3">
      <c r="A93" s="1" t="s">
        <v>654</v>
      </c>
      <c r="B93" s="1">
        <v>4</v>
      </c>
      <c r="C93" s="1">
        <v>0</v>
      </c>
      <c r="D93" s="1" t="s">
        <v>715</v>
      </c>
      <c r="E93" s="1" t="s">
        <v>1066</v>
      </c>
      <c r="F93" s="1">
        <v>79</v>
      </c>
      <c r="G93" s="1" t="s">
        <v>1067</v>
      </c>
      <c r="H93" s="1">
        <v>7.1</v>
      </c>
      <c r="I93" s="1" t="s">
        <v>1061</v>
      </c>
      <c r="J93" s="1" t="s">
        <v>1068</v>
      </c>
      <c r="K93" s="1" t="s">
        <v>1069</v>
      </c>
      <c r="L93" s="1" t="s">
        <v>1070</v>
      </c>
      <c r="M93" s="1" t="s">
        <v>1071</v>
      </c>
    </row>
    <row r="94" spans="1:13" x14ac:dyDescent="0.3">
      <c r="A94" s="1" t="s">
        <v>339</v>
      </c>
      <c r="B94" s="1">
        <v>80</v>
      </c>
      <c r="C94" s="1">
        <v>0</v>
      </c>
      <c r="D94" s="1" t="s">
        <v>1072</v>
      </c>
      <c r="E94" s="1" t="s">
        <v>1073</v>
      </c>
      <c r="F94" s="1">
        <v>69</v>
      </c>
      <c r="G94" s="1" t="s">
        <v>1074</v>
      </c>
      <c r="H94" s="1">
        <v>4.0999999999999996</v>
      </c>
      <c r="I94" s="1" t="s">
        <v>1075</v>
      </c>
      <c r="J94" s="1" t="s">
        <v>1076</v>
      </c>
      <c r="K94" s="1" t="s">
        <v>1077</v>
      </c>
      <c r="L94" s="1" t="s">
        <v>1078</v>
      </c>
      <c r="M94" s="1" t="s">
        <v>1079</v>
      </c>
    </row>
    <row r="95" spans="1:13" x14ac:dyDescent="0.3">
      <c r="A95" s="1" t="s">
        <v>639</v>
      </c>
      <c r="B95" s="1">
        <v>31</v>
      </c>
      <c r="C95" s="1">
        <v>0</v>
      </c>
      <c r="D95" s="1" t="s">
        <v>869</v>
      </c>
      <c r="E95" s="1" t="s">
        <v>686</v>
      </c>
      <c r="F95" s="1">
        <v>12</v>
      </c>
      <c r="G95" s="1" t="s">
        <v>1080</v>
      </c>
      <c r="H95" s="1">
        <v>13</v>
      </c>
      <c r="I95" s="1" t="s">
        <v>1081</v>
      </c>
      <c r="J95" s="1" t="s">
        <v>1082</v>
      </c>
      <c r="K95" s="1" t="s">
        <v>1083</v>
      </c>
      <c r="L95" s="1" t="s">
        <v>1084</v>
      </c>
      <c r="M95" s="1" t="s">
        <v>1085</v>
      </c>
    </row>
    <row r="96" spans="1:13" x14ac:dyDescent="0.3">
      <c r="A96" s="1" t="s">
        <v>92</v>
      </c>
      <c r="B96" s="1">
        <v>168</v>
      </c>
      <c r="C96" s="1" t="s">
        <v>1086</v>
      </c>
      <c r="D96" s="1" t="s">
        <v>1087</v>
      </c>
      <c r="E96" s="1" t="s">
        <v>1088</v>
      </c>
      <c r="F96" s="1">
        <v>41</v>
      </c>
      <c r="G96" s="1" t="s">
        <v>1089</v>
      </c>
      <c r="H96" s="1">
        <v>30</v>
      </c>
      <c r="I96" s="1" t="s">
        <v>1090</v>
      </c>
      <c r="J96" s="1" t="s">
        <v>1091</v>
      </c>
      <c r="K96" s="1" t="s">
        <v>1092</v>
      </c>
      <c r="L96" s="1" t="s">
        <v>1093</v>
      </c>
      <c r="M96" s="1" t="s">
        <v>1094</v>
      </c>
    </row>
    <row r="97" spans="1:13" x14ac:dyDescent="0.3">
      <c r="A97" s="1" t="s">
        <v>565</v>
      </c>
      <c r="B97" s="1">
        <v>2</v>
      </c>
      <c r="C97" s="1">
        <v>0</v>
      </c>
      <c r="D97" s="1" t="s">
        <v>690</v>
      </c>
      <c r="E97" s="1" t="s">
        <v>698</v>
      </c>
      <c r="F97" s="1">
        <v>46</v>
      </c>
      <c r="G97" s="1" t="s">
        <v>1095</v>
      </c>
      <c r="H97" s="1">
        <v>5</v>
      </c>
      <c r="I97" s="1" t="s">
        <v>1096</v>
      </c>
      <c r="J97" s="1" t="s">
        <v>1097</v>
      </c>
      <c r="K97" s="1" t="s">
        <v>1098</v>
      </c>
      <c r="L97" s="1" t="s">
        <v>1099</v>
      </c>
      <c r="M97" s="1" t="s">
        <v>1100</v>
      </c>
    </row>
    <row r="98" spans="1:13" x14ac:dyDescent="0.3">
      <c r="A98" s="1" t="s">
        <v>591</v>
      </c>
      <c r="B98" s="1">
        <v>4</v>
      </c>
      <c r="C98" s="1">
        <v>0</v>
      </c>
      <c r="D98" s="1" t="s">
        <v>715</v>
      </c>
      <c r="E98" s="1" t="s">
        <v>788</v>
      </c>
      <c r="F98" s="1">
        <v>92</v>
      </c>
      <c r="G98" s="1" t="s">
        <v>1101</v>
      </c>
      <c r="H98" s="1">
        <v>7</v>
      </c>
      <c r="I98" s="1" t="s">
        <v>1102</v>
      </c>
      <c r="J98" s="1" t="s">
        <v>1103</v>
      </c>
      <c r="K98" s="1" t="s">
        <v>1104</v>
      </c>
      <c r="L98" s="1" t="s">
        <v>1105</v>
      </c>
      <c r="M98" s="1" t="s">
        <v>1106</v>
      </c>
    </row>
    <row r="99" spans="1:13" x14ac:dyDescent="0.3">
      <c r="A99" s="1" t="s">
        <v>598</v>
      </c>
      <c r="B99" s="1">
        <v>6</v>
      </c>
      <c r="C99" s="1">
        <v>0</v>
      </c>
      <c r="D99" s="1" t="s">
        <v>734</v>
      </c>
      <c r="E99" s="1" t="s">
        <v>788</v>
      </c>
      <c r="F99" s="1">
        <v>93</v>
      </c>
      <c r="G99" s="1" t="s">
        <v>1107</v>
      </c>
      <c r="H99" s="1">
        <v>7</v>
      </c>
      <c r="I99" s="1" t="s">
        <v>1102</v>
      </c>
      <c r="J99" s="1" t="s">
        <v>1108</v>
      </c>
      <c r="K99" s="1" t="s">
        <v>1109</v>
      </c>
      <c r="L99" s="1" t="s">
        <v>1110</v>
      </c>
      <c r="M99" s="1" t="s">
        <v>1111</v>
      </c>
    </row>
    <row r="100" spans="1:13" x14ac:dyDescent="0.3">
      <c r="A100" s="1" t="s">
        <v>630</v>
      </c>
      <c r="B100" s="1">
        <v>14</v>
      </c>
      <c r="C100" s="1">
        <v>0</v>
      </c>
      <c r="D100" s="1" t="s">
        <v>1112</v>
      </c>
      <c r="E100" s="1" t="s">
        <v>711</v>
      </c>
      <c r="F100" s="1">
        <v>41</v>
      </c>
      <c r="G100" s="1" t="s">
        <v>1113</v>
      </c>
      <c r="H100" s="1">
        <v>12</v>
      </c>
      <c r="I100" s="1" t="s">
        <v>1114</v>
      </c>
      <c r="J100" s="1" t="s">
        <v>1115</v>
      </c>
      <c r="K100" s="1" t="s">
        <v>1116</v>
      </c>
      <c r="L100" s="1" t="s">
        <v>1117</v>
      </c>
      <c r="M100" s="1" t="s">
        <v>1118</v>
      </c>
    </row>
    <row r="101" spans="1:13" x14ac:dyDescent="0.3">
      <c r="A101" s="1" t="s">
        <v>520</v>
      </c>
      <c r="B101" s="1">
        <v>0</v>
      </c>
      <c r="C101" s="1">
        <v>0</v>
      </c>
      <c r="D101" s="1" t="s">
        <v>857</v>
      </c>
      <c r="E101" s="1" t="s">
        <v>857</v>
      </c>
      <c r="F101" s="1">
        <v>60</v>
      </c>
      <c r="G101" s="1" t="s">
        <v>1119</v>
      </c>
      <c r="H101" s="1">
        <v>5</v>
      </c>
      <c r="I101" s="1" t="s">
        <v>1120</v>
      </c>
      <c r="J101" s="1" t="s">
        <v>1121</v>
      </c>
      <c r="K101" s="1" t="s">
        <v>1005</v>
      </c>
      <c r="L101" s="1" t="s">
        <v>1122</v>
      </c>
      <c r="M101" s="1" t="s">
        <v>1123</v>
      </c>
    </row>
    <row r="102" spans="1:13" x14ac:dyDescent="0.3">
      <c r="A102" s="1" t="s">
        <v>1124</v>
      </c>
      <c r="B102" s="1">
        <v>0</v>
      </c>
      <c r="C102" s="1">
        <v>0</v>
      </c>
      <c r="D102" s="1" t="s">
        <v>857</v>
      </c>
      <c r="E102" s="1" t="s">
        <v>857</v>
      </c>
      <c r="F102" s="1">
        <v>1</v>
      </c>
      <c r="G102" s="1" t="s">
        <v>1125</v>
      </c>
      <c r="H102" s="1">
        <v>5</v>
      </c>
      <c r="I102" s="1" t="s">
        <v>1126</v>
      </c>
      <c r="J102" s="1" t="s">
        <v>1127</v>
      </c>
      <c r="K102" s="1" t="s">
        <v>1005</v>
      </c>
      <c r="L102" s="1" t="s">
        <v>1128</v>
      </c>
      <c r="M102" s="1" t="s">
        <v>1129</v>
      </c>
    </row>
    <row r="103" spans="1:13" x14ac:dyDescent="0.3">
      <c r="A103" s="1" t="s">
        <v>1130</v>
      </c>
      <c r="B103" s="1">
        <v>35</v>
      </c>
      <c r="C103" s="1">
        <v>6</v>
      </c>
      <c r="D103" s="1" t="s">
        <v>1131</v>
      </c>
      <c r="E103" s="1" t="s">
        <v>1073</v>
      </c>
      <c r="F103" s="1">
        <v>20</v>
      </c>
      <c r="G103" s="1" t="s">
        <v>1132</v>
      </c>
      <c r="H103" s="1">
        <v>8.6</v>
      </c>
      <c r="I103" s="1" t="s">
        <v>1133</v>
      </c>
      <c r="J103" s="1" t="s">
        <v>1134</v>
      </c>
      <c r="K103" s="1" t="s">
        <v>1135</v>
      </c>
      <c r="L103" s="1" t="s">
        <v>1136</v>
      </c>
      <c r="M103" s="1" t="s">
        <v>1137</v>
      </c>
    </row>
    <row r="104" spans="1:13" x14ac:dyDescent="0.3">
      <c r="A104" s="1" t="s">
        <v>234</v>
      </c>
      <c r="B104" s="1">
        <v>35</v>
      </c>
      <c r="C104" s="1">
        <v>6</v>
      </c>
      <c r="D104" s="1" t="s">
        <v>1131</v>
      </c>
      <c r="E104" s="1" t="s">
        <v>1073</v>
      </c>
      <c r="F104" s="1">
        <v>20</v>
      </c>
      <c r="G104" s="1" t="s">
        <v>1132</v>
      </c>
      <c r="H104" s="1">
        <v>8.6</v>
      </c>
      <c r="I104" s="1" t="s">
        <v>1133</v>
      </c>
      <c r="J104" s="1" t="s">
        <v>1134</v>
      </c>
      <c r="K104" s="1" t="s">
        <v>1135</v>
      </c>
      <c r="L104" s="1" t="s">
        <v>1136</v>
      </c>
      <c r="M104" s="1" t="s">
        <v>1137</v>
      </c>
    </row>
    <row r="105" spans="1:13" x14ac:dyDescent="0.3">
      <c r="A105" s="1" t="s">
        <v>613</v>
      </c>
      <c r="B105" s="1">
        <v>1</v>
      </c>
      <c r="C105" s="1">
        <v>0</v>
      </c>
      <c r="D105" s="1" t="s">
        <v>710</v>
      </c>
      <c r="E105" s="1" t="s">
        <v>690</v>
      </c>
      <c r="F105" s="1">
        <v>88.5</v>
      </c>
      <c r="G105" s="1" t="s">
        <v>1138</v>
      </c>
      <c r="H105" s="1">
        <v>8</v>
      </c>
      <c r="I105" s="1" t="s">
        <v>1102</v>
      </c>
      <c r="J105" s="1" t="s">
        <v>1139</v>
      </c>
      <c r="K105" s="1" t="s">
        <v>1140</v>
      </c>
      <c r="L105" s="1" t="s">
        <v>1141</v>
      </c>
      <c r="M105" s="1" t="s">
        <v>1142</v>
      </c>
    </row>
    <row r="106" spans="1:13" x14ac:dyDescent="0.3">
      <c r="A106" s="1" t="s">
        <v>542</v>
      </c>
      <c r="B106" s="1">
        <v>3</v>
      </c>
      <c r="C106" s="1">
        <v>0</v>
      </c>
      <c r="D106" s="1" t="s">
        <v>690</v>
      </c>
      <c r="E106" s="1" t="s">
        <v>704</v>
      </c>
      <c r="F106" s="1">
        <v>79</v>
      </c>
      <c r="G106" s="1" t="s">
        <v>1143</v>
      </c>
      <c r="H106" s="1">
        <v>10</v>
      </c>
      <c r="I106" s="1" t="s">
        <v>1144</v>
      </c>
      <c r="J106" s="1" t="s">
        <v>1145</v>
      </c>
      <c r="K106" s="1" t="s">
        <v>1146</v>
      </c>
      <c r="L106" s="1" t="s">
        <v>1147</v>
      </c>
      <c r="M106" s="1" t="s">
        <v>1148</v>
      </c>
    </row>
    <row r="107" spans="1:13" x14ac:dyDescent="0.3">
      <c r="A107" s="1" t="s">
        <v>346</v>
      </c>
      <c r="B107" s="1">
        <v>25</v>
      </c>
      <c r="C107" s="1">
        <v>0</v>
      </c>
      <c r="D107" s="1" t="s">
        <v>1149</v>
      </c>
      <c r="E107" s="1" t="s">
        <v>687</v>
      </c>
      <c r="F107" s="1">
        <v>42</v>
      </c>
      <c r="G107" s="1" t="s">
        <v>1150</v>
      </c>
      <c r="H107" s="1">
        <v>6.5</v>
      </c>
      <c r="I107" s="1" t="s">
        <v>1151</v>
      </c>
      <c r="J107" s="1" t="s">
        <v>1152</v>
      </c>
      <c r="K107" s="1" t="s">
        <v>1153</v>
      </c>
      <c r="L107" s="1" t="s">
        <v>1154</v>
      </c>
      <c r="M107" s="1" t="s">
        <v>1155</v>
      </c>
    </row>
    <row r="108" spans="1:13" x14ac:dyDescent="0.3">
      <c r="A108" s="1" t="s">
        <v>640</v>
      </c>
      <c r="B108" s="1">
        <v>4</v>
      </c>
      <c r="C108" s="1">
        <v>0</v>
      </c>
      <c r="D108" s="1" t="s">
        <v>698</v>
      </c>
      <c r="E108" s="1" t="s">
        <v>857</v>
      </c>
      <c r="F108" s="1">
        <v>92</v>
      </c>
      <c r="G108" s="1" t="s">
        <v>1156</v>
      </c>
      <c r="H108" s="1">
        <v>8</v>
      </c>
      <c r="I108" s="1" t="s">
        <v>1157</v>
      </c>
      <c r="J108" s="1" t="s">
        <v>1158</v>
      </c>
      <c r="K108" s="1">
        <v>0</v>
      </c>
      <c r="L108" s="1" t="s">
        <v>1159</v>
      </c>
      <c r="M108" s="1" t="s">
        <v>1160</v>
      </c>
    </row>
    <row r="109" spans="1:13" x14ac:dyDescent="0.3">
      <c r="A109" s="1" t="s">
        <v>600</v>
      </c>
      <c r="B109" s="1">
        <v>2</v>
      </c>
      <c r="C109" s="1">
        <v>0</v>
      </c>
      <c r="D109" s="1" t="s">
        <v>690</v>
      </c>
      <c r="E109" s="1" t="s">
        <v>710</v>
      </c>
      <c r="F109" s="1">
        <v>47</v>
      </c>
      <c r="G109" s="1" t="s">
        <v>1161</v>
      </c>
      <c r="H109" s="1" t="s">
        <v>1162</v>
      </c>
      <c r="I109" s="1" t="s">
        <v>1163</v>
      </c>
      <c r="J109" s="1" t="s">
        <v>1164</v>
      </c>
      <c r="K109" s="1">
        <v>0</v>
      </c>
      <c r="L109" s="1" t="s">
        <v>1165</v>
      </c>
      <c r="M109" s="1" t="s">
        <v>1166</v>
      </c>
    </row>
    <row r="110" spans="1:13" x14ac:dyDescent="0.3">
      <c r="A110" s="1" t="s">
        <v>587</v>
      </c>
      <c r="B110" s="1">
        <v>0</v>
      </c>
      <c r="C110" s="1">
        <v>0</v>
      </c>
      <c r="D110" s="1" t="s">
        <v>857</v>
      </c>
      <c r="E110" s="1" t="s">
        <v>857</v>
      </c>
      <c r="F110" s="1">
        <v>32</v>
      </c>
      <c r="G110" s="1" t="s">
        <v>1167</v>
      </c>
      <c r="H110" s="1">
        <v>6</v>
      </c>
      <c r="I110" s="1" t="s">
        <v>1168</v>
      </c>
      <c r="J110" s="1" t="s">
        <v>1169</v>
      </c>
      <c r="K110" s="1">
        <v>0</v>
      </c>
      <c r="L110" s="1" t="s">
        <v>1170</v>
      </c>
      <c r="M110" s="1" t="s">
        <v>1171</v>
      </c>
    </row>
    <row r="111" spans="1:13" x14ac:dyDescent="0.3">
      <c r="A111" s="1" t="s">
        <v>650</v>
      </c>
      <c r="B111" s="1">
        <v>6</v>
      </c>
      <c r="C111" s="1">
        <v>0</v>
      </c>
      <c r="D111" s="1" t="s">
        <v>734</v>
      </c>
      <c r="E111" s="1" t="s">
        <v>1172</v>
      </c>
      <c r="F111" s="1">
        <v>88</v>
      </c>
      <c r="G111" s="1" t="s">
        <v>1173</v>
      </c>
      <c r="H111" s="1">
        <v>7</v>
      </c>
      <c r="I111" s="1" t="s">
        <v>1061</v>
      </c>
      <c r="J111" s="1" t="s">
        <v>1174</v>
      </c>
      <c r="K111" s="1">
        <v>0</v>
      </c>
      <c r="L111" s="1" t="s">
        <v>1175</v>
      </c>
      <c r="M111" s="1" t="s">
        <v>1176</v>
      </c>
    </row>
    <row r="112" spans="1:13" x14ac:dyDescent="0.3">
      <c r="A112" s="1" t="s">
        <v>348</v>
      </c>
      <c r="B112" s="1">
        <v>5</v>
      </c>
      <c r="C112" s="1">
        <v>0</v>
      </c>
      <c r="D112" s="1" t="s">
        <v>704</v>
      </c>
      <c r="E112" s="1" t="s">
        <v>690</v>
      </c>
      <c r="F112" s="1">
        <v>97</v>
      </c>
      <c r="G112" s="1" t="s">
        <v>1177</v>
      </c>
      <c r="H112" s="1">
        <v>5</v>
      </c>
      <c r="I112" s="1" t="s">
        <v>1178</v>
      </c>
      <c r="J112" s="1" t="s">
        <v>1179</v>
      </c>
      <c r="K112" s="1" t="s">
        <v>1180</v>
      </c>
      <c r="L112" s="1" t="s">
        <v>1181</v>
      </c>
      <c r="M112" s="1" t="s">
        <v>1182</v>
      </c>
    </row>
    <row r="113" spans="1:13" x14ac:dyDescent="0.3">
      <c r="A113" s="1" t="s">
        <v>321</v>
      </c>
      <c r="B113" s="1">
        <v>20</v>
      </c>
      <c r="C113" s="1">
        <v>0</v>
      </c>
      <c r="D113" s="1" t="s">
        <v>1066</v>
      </c>
      <c r="E113" s="1" t="s">
        <v>667</v>
      </c>
      <c r="F113" s="1">
        <v>76</v>
      </c>
      <c r="G113" s="1" t="s">
        <v>1183</v>
      </c>
      <c r="H113" s="1">
        <v>12</v>
      </c>
      <c r="I113" s="1" t="s">
        <v>1184</v>
      </c>
      <c r="J113" s="1" t="s">
        <v>1185</v>
      </c>
      <c r="K113" s="1" t="s">
        <v>1186</v>
      </c>
      <c r="L113" s="1" t="s">
        <v>1187</v>
      </c>
      <c r="M113" s="1" t="s">
        <v>1188</v>
      </c>
    </row>
    <row r="114" spans="1:13" x14ac:dyDescent="0.3">
      <c r="A114" s="1" t="s">
        <v>330</v>
      </c>
      <c r="B114" s="1">
        <v>16</v>
      </c>
      <c r="C114" s="1">
        <v>0</v>
      </c>
      <c r="D114" s="1" t="s">
        <v>788</v>
      </c>
      <c r="E114" s="1" t="s">
        <v>667</v>
      </c>
      <c r="F114" s="1">
        <v>100</v>
      </c>
      <c r="G114" s="1" t="s">
        <v>1189</v>
      </c>
      <c r="H114" s="1">
        <v>15</v>
      </c>
      <c r="I114" s="1" t="s">
        <v>1190</v>
      </c>
      <c r="J114" s="1" t="s">
        <v>1191</v>
      </c>
      <c r="K114" s="1" t="s">
        <v>1192</v>
      </c>
      <c r="L114" s="1" t="s">
        <v>1193</v>
      </c>
      <c r="M114" s="1" t="s">
        <v>1194</v>
      </c>
    </row>
    <row r="115" spans="1:13" x14ac:dyDescent="0.3">
      <c r="A115" s="1" t="s">
        <v>622</v>
      </c>
      <c r="B115" s="1">
        <v>0</v>
      </c>
      <c r="C115" s="1">
        <v>0</v>
      </c>
      <c r="D115" s="1" t="s">
        <v>857</v>
      </c>
      <c r="E115" s="1" t="s">
        <v>857</v>
      </c>
      <c r="F115" s="1">
        <v>0</v>
      </c>
      <c r="G115" s="1" t="s">
        <v>1195</v>
      </c>
      <c r="H115" s="1">
        <v>0</v>
      </c>
      <c r="I115" s="1" t="s">
        <v>1196</v>
      </c>
      <c r="J115" s="1" t="s">
        <v>1197</v>
      </c>
      <c r="K115" s="1" t="s">
        <v>1195</v>
      </c>
      <c r="L115" s="1" t="s">
        <v>1195</v>
      </c>
      <c r="M115" s="1" t="s">
        <v>1198</v>
      </c>
    </row>
    <row r="116" spans="1:13" x14ac:dyDescent="0.3">
      <c r="A116" s="1" t="s">
        <v>594</v>
      </c>
      <c r="B116" s="1">
        <v>1</v>
      </c>
      <c r="C116" s="1">
        <v>0</v>
      </c>
      <c r="D116" s="1" t="s">
        <v>857</v>
      </c>
      <c r="E116" s="1" t="s">
        <v>857</v>
      </c>
      <c r="F116" s="1">
        <v>0</v>
      </c>
      <c r="G116" s="1" t="s">
        <v>1195</v>
      </c>
      <c r="H116" s="1">
        <v>0</v>
      </c>
      <c r="I116" s="1" t="s">
        <v>1196</v>
      </c>
      <c r="J116" s="1" t="s">
        <v>1197</v>
      </c>
      <c r="K116" s="1" t="s">
        <v>1195</v>
      </c>
      <c r="L116" s="1" t="s">
        <v>1195</v>
      </c>
      <c r="M116" s="1" t="s">
        <v>1198</v>
      </c>
    </row>
    <row r="117" spans="1:13" x14ac:dyDescent="0.3">
      <c r="A117" s="1" t="s">
        <v>349</v>
      </c>
      <c r="B117" s="1">
        <v>34</v>
      </c>
      <c r="C117" s="1">
        <v>0</v>
      </c>
      <c r="D117" s="1" t="s">
        <v>728</v>
      </c>
      <c r="E117" s="1" t="s">
        <v>1199</v>
      </c>
      <c r="F117" s="1">
        <v>100</v>
      </c>
      <c r="G117" s="1" t="s">
        <v>1200</v>
      </c>
      <c r="H117" s="1">
        <v>13</v>
      </c>
      <c r="I117" s="1" t="s">
        <v>1201</v>
      </c>
      <c r="J117" s="1" t="s">
        <v>1202</v>
      </c>
      <c r="K117" s="1" t="s">
        <v>1203</v>
      </c>
      <c r="L117" s="1" t="s">
        <v>1204</v>
      </c>
      <c r="M117" s="1" t="s">
        <v>1205</v>
      </c>
    </row>
    <row r="118" spans="1:13" x14ac:dyDescent="0.3">
      <c r="A118" s="1" t="s">
        <v>556</v>
      </c>
      <c r="B118" s="1">
        <v>1</v>
      </c>
      <c r="C118" s="1">
        <v>0</v>
      </c>
      <c r="D118" s="1" t="s">
        <v>710</v>
      </c>
      <c r="E118" s="1" t="s">
        <v>857</v>
      </c>
      <c r="F118" s="1">
        <v>0</v>
      </c>
      <c r="G118" s="1" t="s">
        <v>1195</v>
      </c>
      <c r="H118" s="1">
        <v>0</v>
      </c>
      <c r="I118" s="1" t="s">
        <v>1206</v>
      </c>
      <c r="J118" s="1" t="s">
        <v>1207</v>
      </c>
      <c r="K118" s="1" t="s">
        <v>1195</v>
      </c>
      <c r="L118" s="1" t="s">
        <v>1195</v>
      </c>
      <c r="M118" s="1" t="s">
        <v>1198</v>
      </c>
    </row>
    <row r="119" spans="1:13" x14ac:dyDescent="0.3">
      <c r="A119" s="1" t="s">
        <v>658</v>
      </c>
      <c r="B119" s="1">
        <v>2</v>
      </c>
      <c r="C119" s="1">
        <v>0</v>
      </c>
      <c r="D119" s="1" t="s">
        <v>690</v>
      </c>
      <c r="E119" s="1" t="s">
        <v>857</v>
      </c>
      <c r="F119" s="1">
        <v>0</v>
      </c>
      <c r="G119" s="1" t="s">
        <v>1195</v>
      </c>
      <c r="H119" s="1">
        <v>0</v>
      </c>
      <c r="I119" s="1" t="s">
        <v>1196</v>
      </c>
      <c r="J119" s="1" t="s">
        <v>1197</v>
      </c>
      <c r="K119" s="1" t="s">
        <v>1195</v>
      </c>
      <c r="L119" s="1" t="s">
        <v>1195</v>
      </c>
      <c r="M119" s="1" t="s">
        <v>1198</v>
      </c>
    </row>
    <row r="120" spans="1:13" x14ac:dyDescent="0.3">
      <c r="A120" s="1" t="s">
        <v>540</v>
      </c>
      <c r="B120" s="1">
        <v>3</v>
      </c>
      <c r="C120" s="1">
        <v>0</v>
      </c>
      <c r="D120" s="1" t="s">
        <v>698</v>
      </c>
      <c r="E120" s="1" t="s">
        <v>857</v>
      </c>
      <c r="F120" s="1">
        <v>0</v>
      </c>
      <c r="G120" s="1" t="s">
        <v>1195</v>
      </c>
      <c r="H120" s="1">
        <v>0</v>
      </c>
      <c r="I120" s="1" t="s">
        <v>1206</v>
      </c>
      <c r="J120" s="1" t="s">
        <v>1202</v>
      </c>
      <c r="K120" s="1" t="s">
        <v>1195</v>
      </c>
      <c r="L120" s="1" t="s">
        <v>1195</v>
      </c>
      <c r="M120" s="1" t="s">
        <v>1198</v>
      </c>
    </row>
    <row r="121" spans="1:13" x14ac:dyDescent="0.3">
      <c r="A121" s="1" t="s">
        <v>515</v>
      </c>
      <c r="B121" s="1">
        <v>0</v>
      </c>
      <c r="C121" s="1">
        <v>0</v>
      </c>
      <c r="D121" s="1" t="s">
        <v>857</v>
      </c>
      <c r="E121" s="1" t="s">
        <v>857</v>
      </c>
      <c r="F121" s="1">
        <v>0</v>
      </c>
      <c r="G121" s="1" t="s">
        <v>1195</v>
      </c>
      <c r="H121" s="1" t="s">
        <v>1208</v>
      </c>
      <c r="I121" s="1" t="s">
        <v>1209</v>
      </c>
      <c r="J121" s="1" t="s">
        <v>1207</v>
      </c>
      <c r="K121" s="1" t="s">
        <v>1195</v>
      </c>
      <c r="L121" s="1" t="s">
        <v>1195</v>
      </c>
      <c r="M121" s="1" t="s">
        <v>1198</v>
      </c>
    </row>
    <row r="122" spans="1:13" x14ac:dyDescent="0.3">
      <c r="A122" s="1" t="s">
        <v>614</v>
      </c>
      <c r="B122" s="1">
        <v>1</v>
      </c>
      <c r="C122" s="1">
        <v>0</v>
      </c>
      <c r="D122" s="1" t="s">
        <v>857</v>
      </c>
      <c r="E122" s="1" t="s">
        <v>857</v>
      </c>
      <c r="F122" s="1">
        <v>0</v>
      </c>
      <c r="G122" s="1" t="s">
        <v>1195</v>
      </c>
      <c r="H122" s="1">
        <v>2.9</v>
      </c>
      <c r="I122" s="1" t="s">
        <v>1210</v>
      </c>
      <c r="J122" s="1" t="s">
        <v>1197</v>
      </c>
      <c r="K122" s="1" t="s">
        <v>1195</v>
      </c>
      <c r="L122" s="1" t="s">
        <v>1195</v>
      </c>
      <c r="M122" s="1" t="s">
        <v>1198</v>
      </c>
    </row>
    <row r="123" spans="1:13" x14ac:dyDescent="0.3">
      <c r="A123" s="1" t="s">
        <v>543</v>
      </c>
      <c r="B123" s="1">
        <v>10</v>
      </c>
      <c r="C123" s="1">
        <v>0</v>
      </c>
      <c r="D123" s="1" t="s">
        <v>722</v>
      </c>
      <c r="E123" s="1" t="s">
        <v>857</v>
      </c>
      <c r="F123" s="1">
        <v>0</v>
      </c>
      <c r="G123" s="1" t="s">
        <v>1195</v>
      </c>
      <c r="H123" s="1">
        <v>0</v>
      </c>
      <c r="I123" s="1" t="s">
        <v>1206</v>
      </c>
      <c r="J123" s="1" t="s">
        <v>1211</v>
      </c>
      <c r="K123" s="1" t="s">
        <v>1195</v>
      </c>
      <c r="L123" s="1" t="s">
        <v>1195</v>
      </c>
      <c r="M123" s="1" t="s">
        <v>1198</v>
      </c>
    </row>
    <row r="124" spans="1:13" x14ac:dyDescent="0.3">
      <c r="A124" s="1" t="s">
        <v>522</v>
      </c>
      <c r="B124" s="1">
        <v>1</v>
      </c>
      <c r="C124" s="1">
        <v>0</v>
      </c>
      <c r="D124" s="1" t="s">
        <v>857</v>
      </c>
      <c r="E124" s="1" t="s">
        <v>857</v>
      </c>
      <c r="F124" s="1">
        <v>0</v>
      </c>
      <c r="G124" s="1" t="s">
        <v>1195</v>
      </c>
      <c r="H124" s="1">
        <v>0</v>
      </c>
      <c r="I124" s="1" t="s">
        <v>1212</v>
      </c>
      <c r="J124" s="1" t="s">
        <v>1213</v>
      </c>
      <c r="K124" s="1" t="s">
        <v>1195</v>
      </c>
      <c r="L124" s="1" t="s">
        <v>1195</v>
      </c>
      <c r="M124" s="1" t="s">
        <v>1198</v>
      </c>
    </row>
    <row r="125" spans="1:13" x14ac:dyDescent="0.3">
      <c r="A125" s="1" t="s">
        <v>332</v>
      </c>
      <c r="B125" s="1">
        <v>7</v>
      </c>
      <c r="C125" s="1">
        <v>0</v>
      </c>
      <c r="D125" s="1" t="s">
        <v>972</v>
      </c>
      <c r="E125" s="1" t="s">
        <v>857</v>
      </c>
      <c r="F125" s="1">
        <v>0</v>
      </c>
      <c r="G125" s="1" t="s">
        <v>1195</v>
      </c>
      <c r="H125" s="1">
        <v>0</v>
      </c>
      <c r="I125" s="1" t="s">
        <v>1206</v>
      </c>
      <c r="J125" s="1" t="s">
        <v>1211</v>
      </c>
      <c r="K125" s="1" t="s">
        <v>1195</v>
      </c>
      <c r="L125" s="1" t="s">
        <v>1195</v>
      </c>
      <c r="M125" s="1" t="s">
        <v>1198</v>
      </c>
    </row>
    <row r="126" spans="1:13" x14ac:dyDescent="0.3">
      <c r="A126" s="1" t="s">
        <v>326</v>
      </c>
      <c r="B126" s="1">
        <v>3</v>
      </c>
      <c r="C126" s="1">
        <v>0</v>
      </c>
      <c r="D126" s="1" t="s">
        <v>698</v>
      </c>
      <c r="E126" s="1" t="s">
        <v>857</v>
      </c>
      <c r="F126" s="1">
        <v>0</v>
      </c>
      <c r="G126" s="1" t="s">
        <v>1214</v>
      </c>
      <c r="H126" s="1">
        <v>0</v>
      </c>
      <c r="I126" s="1" t="s">
        <v>1215</v>
      </c>
      <c r="J126" s="1" t="s">
        <v>1216</v>
      </c>
      <c r="K126" s="1" t="s">
        <v>1195</v>
      </c>
      <c r="L126" s="1" t="s">
        <v>1195</v>
      </c>
      <c r="M126" s="1" t="s">
        <v>1198</v>
      </c>
    </row>
    <row r="127" spans="1:13" x14ac:dyDescent="0.3">
      <c r="A127" s="1" t="s">
        <v>552</v>
      </c>
      <c r="B127" s="1">
        <v>3</v>
      </c>
      <c r="C127" s="1">
        <v>0</v>
      </c>
      <c r="D127" s="1" t="s">
        <v>698</v>
      </c>
      <c r="E127" s="1" t="s">
        <v>857</v>
      </c>
      <c r="F127" s="1">
        <v>0</v>
      </c>
      <c r="G127" s="1" t="s">
        <v>1217</v>
      </c>
      <c r="H127" s="1">
        <v>0</v>
      </c>
      <c r="I127" s="1" t="s">
        <v>1206</v>
      </c>
      <c r="J127" s="1" t="s">
        <v>1211</v>
      </c>
      <c r="K127" s="1" t="s">
        <v>1195</v>
      </c>
      <c r="L127" s="1" t="s">
        <v>1195</v>
      </c>
      <c r="M127" s="1" t="s">
        <v>1198</v>
      </c>
    </row>
    <row r="128" spans="1:13" x14ac:dyDescent="0.3">
      <c r="A128" s="1" t="s">
        <v>577</v>
      </c>
      <c r="B128" s="1">
        <v>0</v>
      </c>
      <c r="C128" s="1">
        <v>0</v>
      </c>
      <c r="D128" s="1" t="s">
        <v>857</v>
      </c>
      <c r="E128" s="1" t="s">
        <v>857</v>
      </c>
      <c r="F128" s="1">
        <v>89.8</v>
      </c>
      <c r="G128" s="1" t="s">
        <v>1218</v>
      </c>
      <c r="H128" s="1">
        <v>0</v>
      </c>
      <c r="I128" s="1" t="s">
        <v>1219</v>
      </c>
      <c r="J128" s="1" t="s">
        <v>1220</v>
      </c>
      <c r="K128" s="1">
        <v>0</v>
      </c>
      <c r="L128" s="1" t="s">
        <v>1221</v>
      </c>
      <c r="M128" s="1" t="s">
        <v>1222</v>
      </c>
    </row>
    <row r="129" spans="1:13" x14ac:dyDescent="0.3">
      <c r="A129" s="1" t="s">
        <v>609</v>
      </c>
      <c r="B129" s="1">
        <v>4</v>
      </c>
      <c r="C129" s="1">
        <v>0</v>
      </c>
      <c r="D129" s="1" t="s">
        <v>715</v>
      </c>
      <c r="E129" s="1" t="s">
        <v>1223</v>
      </c>
      <c r="F129" s="1">
        <v>90</v>
      </c>
      <c r="G129" s="1" t="s">
        <v>1224</v>
      </c>
      <c r="H129" s="1">
        <v>11.2</v>
      </c>
      <c r="I129" s="1" t="s">
        <v>1225</v>
      </c>
      <c r="J129" s="1" t="s">
        <v>1226</v>
      </c>
      <c r="K129" s="1">
        <v>0</v>
      </c>
      <c r="L129" s="1" t="s">
        <v>1227</v>
      </c>
      <c r="M129" s="1" t="s">
        <v>1228</v>
      </c>
    </row>
    <row r="130" spans="1:13" x14ac:dyDescent="0.3">
      <c r="A130" s="1" t="s">
        <v>635</v>
      </c>
      <c r="B130" s="1">
        <v>7</v>
      </c>
      <c r="C130" s="1">
        <v>0</v>
      </c>
      <c r="D130" s="1" t="s">
        <v>972</v>
      </c>
      <c r="E130" s="1" t="s">
        <v>972</v>
      </c>
      <c r="F130" s="1">
        <v>0</v>
      </c>
      <c r="G130" s="1" t="s">
        <v>1229</v>
      </c>
      <c r="H130" s="1">
        <v>10</v>
      </c>
      <c r="I130" s="1" t="s">
        <v>1230</v>
      </c>
      <c r="J130" s="1" t="s">
        <v>1231</v>
      </c>
      <c r="K130" s="1" t="s">
        <v>1232</v>
      </c>
      <c r="L130" s="1" t="s">
        <v>1233</v>
      </c>
      <c r="M130" s="1" t="s">
        <v>1234</v>
      </c>
    </row>
    <row r="131" spans="1:13" x14ac:dyDescent="0.3">
      <c r="A131" s="1" t="s">
        <v>649</v>
      </c>
      <c r="B131" s="1">
        <v>5</v>
      </c>
      <c r="C131" s="1">
        <v>0</v>
      </c>
      <c r="D131" s="1" t="s">
        <v>704</v>
      </c>
      <c r="E131" s="1" t="s">
        <v>715</v>
      </c>
      <c r="F131" s="1">
        <v>41</v>
      </c>
      <c r="G131" s="1" t="s">
        <v>1235</v>
      </c>
      <c r="H131" s="1">
        <v>7.25</v>
      </c>
      <c r="I131" s="1" t="s">
        <v>1236</v>
      </c>
      <c r="J131" s="1" t="s">
        <v>1237</v>
      </c>
      <c r="K131" s="1" t="s">
        <v>1238</v>
      </c>
      <c r="L131" s="1" t="s">
        <v>1239</v>
      </c>
      <c r="M131" s="1" t="s">
        <v>1240</v>
      </c>
    </row>
    <row r="132" spans="1:13" x14ac:dyDescent="0.3">
      <c r="A132" s="1" t="s">
        <v>555</v>
      </c>
      <c r="B132" s="1">
        <v>2</v>
      </c>
      <c r="C132" s="1">
        <v>0</v>
      </c>
      <c r="D132" s="1" t="s">
        <v>690</v>
      </c>
      <c r="E132" s="1" t="s">
        <v>690</v>
      </c>
      <c r="F132" s="1">
        <v>64.400000000000006</v>
      </c>
      <c r="G132" s="1" t="s">
        <v>1241</v>
      </c>
      <c r="H132" s="1">
        <v>4.8</v>
      </c>
      <c r="I132" s="1" t="s">
        <v>1242</v>
      </c>
      <c r="J132" s="1" t="s">
        <v>1243</v>
      </c>
      <c r="K132" s="1" t="s">
        <v>1244</v>
      </c>
      <c r="L132" s="1" t="s">
        <v>1245</v>
      </c>
      <c r="M132" s="1" t="s">
        <v>1246</v>
      </c>
    </row>
    <row r="133" spans="1:13" x14ac:dyDescent="0.3">
      <c r="A133" s="1" t="s">
        <v>231</v>
      </c>
      <c r="B133" s="1">
        <v>7</v>
      </c>
      <c r="C133" s="1">
        <v>0</v>
      </c>
      <c r="D133" s="1" t="s">
        <v>972</v>
      </c>
      <c r="E133" s="1" t="s">
        <v>715</v>
      </c>
      <c r="F133" s="1">
        <v>50</v>
      </c>
      <c r="G133" s="1" t="s">
        <v>1247</v>
      </c>
      <c r="H133" s="1">
        <v>7.25</v>
      </c>
      <c r="I133" s="1" t="s">
        <v>1248</v>
      </c>
      <c r="J133" s="1" t="s">
        <v>1249</v>
      </c>
      <c r="K133" s="1" t="s">
        <v>1250</v>
      </c>
      <c r="L133" s="1" t="s">
        <v>1251</v>
      </c>
      <c r="M133" s="1" t="s">
        <v>1252</v>
      </c>
    </row>
    <row r="134" spans="1:13" x14ac:dyDescent="0.3">
      <c r="A134" s="1" t="s">
        <v>341</v>
      </c>
      <c r="B134" s="1">
        <v>30</v>
      </c>
      <c r="C134" s="1">
        <v>0</v>
      </c>
      <c r="D134" s="1" t="s">
        <v>681</v>
      </c>
      <c r="E134" s="1" t="s">
        <v>1253</v>
      </c>
      <c r="F134" s="1">
        <v>96</v>
      </c>
      <c r="G134" s="1" t="s">
        <v>1254</v>
      </c>
      <c r="H134" s="1">
        <v>13.34</v>
      </c>
      <c r="I134" s="1" t="s">
        <v>1255</v>
      </c>
      <c r="J134" s="1" t="s">
        <v>1256</v>
      </c>
      <c r="K134" s="1" t="s">
        <v>1257</v>
      </c>
      <c r="L134" s="1" t="s">
        <v>1258</v>
      </c>
      <c r="M134" s="1" t="s">
        <v>1259</v>
      </c>
    </row>
    <row r="135" spans="1:13" x14ac:dyDescent="0.3">
      <c r="A135" s="1" t="s">
        <v>588</v>
      </c>
      <c r="B135" s="1">
        <v>3</v>
      </c>
      <c r="C135" s="1">
        <v>0</v>
      </c>
      <c r="D135" s="1" t="s">
        <v>698</v>
      </c>
      <c r="E135" s="1" t="s">
        <v>698</v>
      </c>
      <c r="F135" s="1">
        <v>71.3</v>
      </c>
      <c r="G135" s="1" t="s">
        <v>1260</v>
      </c>
      <c r="H135" s="1">
        <v>6.1</v>
      </c>
      <c r="I135" s="1" t="s">
        <v>1261</v>
      </c>
      <c r="J135" s="1" t="s">
        <v>1262</v>
      </c>
      <c r="K135" s="1" t="s">
        <v>1263</v>
      </c>
      <c r="L135" s="1" t="s">
        <v>1264</v>
      </c>
      <c r="M135" s="1" t="s">
        <v>1265</v>
      </c>
    </row>
    <row r="136" spans="1:13" x14ac:dyDescent="0.3">
      <c r="A136" s="1" t="s">
        <v>642</v>
      </c>
      <c r="B136" s="1">
        <v>1</v>
      </c>
      <c r="C136" s="1">
        <v>0</v>
      </c>
      <c r="D136" s="1" t="s">
        <v>710</v>
      </c>
      <c r="E136" s="1" t="s">
        <v>690</v>
      </c>
      <c r="F136" s="1">
        <v>0</v>
      </c>
      <c r="G136" s="1"/>
      <c r="H136" s="1">
        <v>0</v>
      </c>
      <c r="I136" s="1" t="s">
        <v>1266</v>
      </c>
      <c r="J136" s="1" t="s">
        <v>1267</v>
      </c>
      <c r="K136" s="1" t="s">
        <v>1268</v>
      </c>
      <c r="L136" s="1"/>
      <c r="M136" s="1" t="s">
        <v>1269</v>
      </c>
    </row>
    <row r="137" spans="1:13" x14ac:dyDescent="0.3">
      <c r="A137" s="1" t="s">
        <v>644</v>
      </c>
      <c r="B137" s="1">
        <v>17</v>
      </c>
      <c r="C137" s="1">
        <v>0</v>
      </c>
      <c r="D137" s="1" t="s">
        <v>1270</v>
      </c>
      <c r="E137" s="1" t="s">
        <v>1271</v>
      </c>
      <c r="F137" s="1">
        <v>48.2</v>
      </c>
      <c r="G137" s="1" t="s">
        <v>1272</v>
      </c>
      <c r="H137" s="1">
        <v>15.8</v>
      </c>
      <c r="I137" s="1" t="s">
        <v>1273</v>
      </c>
      <c r="J137" s="1" t="s">
        <v>1274</v>
      </c>
      <c r="K137" s="1" t="s">
        <v>1275</v>
      </c>
      <c r="L137" s="1" t="s">
        <v>1276</v>
      </c>
      <c r="M137" s="1" t="s">
        <v>1277</v>
      </c>
    </row>
    <row r="138" spans="1:13" x14ac:dyDescent="0.3">
      <c r="A138" s="1" t="s">
        <v>573</v>
      </c>
      <c r="B138" s="1">
        <v>5</v>
      </c>
      <c r="C138" s="1">
        <v>0</v>
      </c>
      <c r="D138" s="1" t="s">
        <v>704</v>
      </c>
      <c r="E138" s="1" t="s">
        <v>711</v>
      </c>
      <c r="F138" s="1">
        <v>92</v>
      </c>
      <c r="G138" s="1" t="s">
        <v>1278</v>
      </c>
      <c r="H138" s="1">
        <v>7.9</v>
      </c>
      <c r="I138" s="1" t="s">
        <v>1279</v>
      </c>
      <c r="J138" s="1" t="s">
        <v>1280</v>
      </c>
      <c r="K138" s="1" t="s">
        <v>1281</v>
      </c>
      <c r="L138" s="1" t="s">
        <v>1282</v>
      </c>
      <c r="M138" s="1" t="s">
        <v>1283</v>
      </c>
    </row>
    <row r="139" spans="1:13" x14ac:dyDescent="0.3">
      <c r="A139" s="1" t="s">
        <v>342</v>
      </c>
      <c r="B139" s="1">
        <v>26</v>
      </c>
      <c r="C139" s="1">
        <v>0</v>
      </c>
      <c r="D139" s="1" t="s">
        <v>1284</v>
      </c>
      <c r="E139" s="1" t="s">
        <v>1285</v>
      </c>
      <c r="F139" s="1">
        <v>98</v>
      </c>
      <c r="G139" s="1" t="s">
        <v>1286</v>
      </c>
      <c r="H139" s="1">
        <v>10.29</v>
      </c>
      <c r="I139" s="1" t="s">
        <v>1287</v>
      </c>
      <c r="J139" s="1" t="s">
        <v>1288</v>
      </c>
      <c r="K139" s="1" t="s">
        <v>1289</v>
      </c>
      <c r="L139" s="1" t="s">
        <v>1290</v>
      </c>
      <c r="M139" s="1" t="s">
        <v>1291</v>
      </c>
    </row>
    <row r="140" spans="1:13" x14ac:dyDescent="0.3">
      <c r="A140" s="1" t="s">
        <v>551</v>
      </c>
      <c r="B140" s="1">
        <v>6</v>
      </c>
      <c r="C140" s="1">
        <v>0</v>
      </c>
      <c r="D140" s="1" t="s">
        <v>734</v>
      </c>
      <c r="E140" s="1" t="s">
        <v>906</v>
      </c>
      <c r="F140" s="1">
        <v>95</v>
      </c>
      <c r="G140" s="1" t="s">
        <v>1292</v>
      </c>
      <c r="H140" s="1">
        <v>10.3</v>
      </c>
      <c r="I140" s="1" t="s">
        <v>1293</v>
      </c>
      <c r="J140" s="1" t="s">
        <v>1294</v>
      </c>
      <c r="K140" s="1" t="s">
        <v>1295</v>
      </c>
      <c r="L140" s="1" t="s">
        <v>1296</v>
      </c>
      <c r="M140" s="1" t="s">
        <v>1297</v>
      </c>
    </row>
    <row r="141" spans="1:13" x14ac:dyDescent="0.3">
      <c r="A141" s="1" t="s">
        <v>229</v>
      </c>
      <c r="B141" s="1">
        <v>22</v>
      </c>
      <c r="C141" s="1">
        <v>0</v>
      </c>
      <c r="D141" s="1" t="s">
        <v>1298</v>
      </c>
      <c r="E141" s="1" t="s">
        <v>1299</v>
      </c>
      <c r="F141" s="1">
        <v>48.2</v>
      </c>
      <c r="G141" s="1" t="s">
        <v>1300</v>
      </c>
      <c r="H141" s="1">
        <v>4.41</v>
      </c>
      <c r="I141" s="1" t="s">
        <v>1301</v>
      </c>
      <c r="J141" s="1" t="s">
        <v>1302</v>
      </c>
      <c r="K141" s="1" t="s">
        <v>1303</v>
      </c>
      <c r="L141" s="1" t="s">
        <v>1304</v>
      </c>
      <c r="M141" s="1" t="s">
        <v>1305</v>
      </c>
    </row>
    <row r="142" spans="1:13" x14ac:dyDescent="0.3">
      <c r="A142" s="1" t="s">
        <v>523</v>
      </c>
      <c r="B142" s="1">
        <v>0</v>
      </c>
      <c r="C142" s="1">
        <v>0</v>
      </c>
      <c r="D142" s="1" t="s">
        <v>857</v>
      </c>
      <c r="E142" s="1" t="s">
        <v>857</v>
      </c>
      <c r="F142" s="1">
        <v>57.5</v>
      </c>
      <c r="G142" s="1" t="s">
        <v>1306</v>
      </c>
      <c r="H142" s="1">
        <v>18.399999999999999</v>
      </c>
      <c r="I142" s="1" t="s">
        <v>1307</v>
      </c>
      <c r="J142" s="1" t="s">
        <v>1308</v>
      </c>
      <c r="K142" s="1">
        <v>0</v>
      </c>
      <c r="L142" s="1" t="s">
        <v>1309</v>
      </c>
      <c r="M142" s="1" t="s">
        <v>1310</v>
      </c>
    </row>
    <row r="143" spans="1:13" x14ac:dyDescent="0.3">
      <c r="A143" s="1" t="s">
        <v>570</v>
      </c>
      <c r="B143" s="1">
        <v>8</v>
      </c>
      <c r="C143" s="1">
        <v>0</v>
      </c>
      <c r="D143" s="1" t="s">
        <v>794</v>
      </c>
      <c r="E143" s="1" t="s">
        <v>722</v>
      </c>
      <c r="F143" s="1">
        <v>78</v>
      </c>
      <c r="G143" s="1" t="s">
        <v>1311</v>
      </c>
      <c r="H143" s="1">
        <v>11.7</v>
      </c>
      <c r="I143" s="1" t="s">
        <v>1312</v>
      </c>
      <c r="J143" s="1" t="s">
        <v>1313</v>
      </c>
      <c r="K143" s="1" t="s">
        <v>1314</v>
      </c>
      <c r="L143" s="1" t="s">
        <v>1315</v>
      </c>
      <c r="M143" s="1" t="s">
        <v>1316</v>
      </c>
    </row>
    <row r="144" spans="1:13" x14ac:dyDescent="0.3">
      <c r="A144" s="1" t="s">
        <v>612</v>
      </c>
      <c r="B144" s="1">
        <v>2</v>
      </c>
      <c r="C144" s="1">
        <v>0</v>
      </c>
      <c r="D144" s="1" t="s">
        <v>690</v>
      </c>
      <c r="E144" s="1" t="s">
        <v>710</v>
      </c>
      <c r="F144" s="1">
        <v>24</v>
      </c>
      <c r="G144" s="1" t="s">
        <v>1317</v>
      </c>
      <c r="H144" s="1">
        <v>1.8</v>
      </c>
      <c r="I144" s="1" t="s">
        <v>1318</v>
      </c>
      <c r="J144" s="1" t="s">
        <v>1319</v>
      </c>
      <c r="K144" s="1" t="s">
        <v>1320</v>
      </c>
      <c r="L144" s="1" t="s">
        <v>1321</v>
      </c>
      <c r="M144" s="1" t="s">
        <v>1322</v>
      </c>
    </row>
    <row r="145" spans="1:13" x14ac:dyDescent="0.3">
      <c r="A145" s="1" t="s">
        <v>576</v>
      </c>
      <c r="B145" s="1">
        <v>8</v>
      </c>
      <c r="C145" s="1">
        <v>0</v>
      </c>
      <c r="D145" s="1" t="s">
        <v>794</v>
      </c>
      <c r="E145" s="1" t="s">
        <v>690</v>
      </c>
      <c r="F145" s="1">
        <v>83</v>
      </c>
      <c r="G145" s="1" t="s">
        <v>1323</v>
      </c>
      <c r="H145" s="1">
        <v>12.8</v>
      </c>
      <c r="I145" s="1" t="s">
        <v>1324</v>
      </c>
      <c r="J145" s="1" t="s">
        <v>1325</v>
      </c>
      <c r="K145" s="1" t="s">
        <v>1326</v>
      </c>
      <c r="L145" s="1" t="s">
        <v>1327</v>
      </c>
      <c r="M145" s="1" t="s">
        <v>1328</v>
      </c>
    </row>
    <row r="146" spans="1:13" x14ac:dyDescent="0.3">
      <c r="A146" s="1" t="s">
        <v>616</v>
      </c>
      <c r="B146" s="1">
        <v>10</v>
      </c>
      <c r="C146" s="1">
        <v>0</v>
      </c>
      <c r="D146" s="1" t="s">
        <v>722</v>
      </c>
      <c r="E146" s="1" t="s">
        <v>1066</v>
      </c>
      <c r="F146" s="1">
        <v>79.5</v>
      </c>
      <c r="G146" s="1" t="s">
        <v>1329</v>
      </c>
      <c r="H146" s="1">
        <v>15.6</v>
      </c>
      <c r="I146" s="1" t="s">
        <v>1312</v>
      </c>
      <c r="J146" s="1" t="s">
        <v>1330</v>
      </c>
      <c r="K146" s="1" t="s">
        <v>1331</v>
      </c>
      <c r="L146" s="1" t="s">
        <v>1332</v>
      </c>
      <c r="M146" s="1" t="s">
        <v>1333</v>
      </c>
    </row>
    <row r="147" spans="1:13" x14ac:dyDescent="0.3">
      <c r="A147" s="1" t="s">
        <v>618</v>
      </c>
      <c r="B147" s="1">
        <v>21</v>
      </c>
      <c r="C147" s="1">
        <v>0</v>
      </c>
      <c r="D147" s="1" t="s">
        <v>1334</v>
      </c>
      <c r="E147" s="1" t="s">
        <v>1335</v>
      </c>
      <c r="F147" s="1">
        <v>98</v>
      </c>
      <c r="G147" s="1" t="s">
        <v>1336</v>
      </c>
      <c r="H147" s="1">
        <v>20.8</v>
      </c>
      <c r="I147" s="1" t="s">
        <v>1337</v>
      </c>
      <c r="J147" s="1" t="s">
        <v>1338</v>
      </c>
      <c r="K147" s="1" t="s">
        <v>1339</v>
      </c>
      <c r="L147" s="1" t="s">
        <v>1340</v>
      </c>
      <c r="M147" s="1" t="s">
        <v>1341</v>
      </c>
    </row>
    <row r="148" spans="1:13" x14ac:dyDescent="0.3">
      <c r="A148" s="1" t="s">
        <v>93</v>
      </c>
      <c r="B148" s="1">
        <v>10</v>
      </c>
      <c r="C148" s="1">
        <v>0</v>
      </c>
      <c r="D148" s="1" t="s">
        <v>722</v>
      </c>
      <c r="E148" s="1" t="s">
        <v>1342</v>
      </c>
      <c r="F148" s="1">
        <v>85.5</v>
      </c>
      <c r="G148" s="1" t="s">
        <v>1343</v>
      </c>
      <c r="H148" s="1">
        <v>21.8</v>
      </c>
      <c r="I148" s="1" t="s">
        <v>1344</v>
      </c>
      <c r="J148" s="1" t="s">
        <v>1345</v>
      </c>
      <c r="K148" s="1" t="s">
        <v>1346</v>
      </c>
      <c r="L148" s="1" t="s">
        <v>1347</v>
      </c>
      <c r="M148" s="1" t="s">
        <v>1348</v>
      </c>
    </row>
    <row r="149" spans="1:13" x14ac:dyDescent="0.3">
      <c r="A149" s="1" t="s">
        <v>529</v>
      </c>
      <c r="B149" s="1">
        <v>13</v>
      </c>
      <c r="C149" s="1">
        <v>0</v>
      </c>
      <c r="D149" s="1" t="s">
        <v>1349</v>
      </c>
      <c r="E149" s="1" t="s">
        <v>687</v>
      </c>
      <c r="F149" s="1">
        <v>99</v>
      </c>
      <c r="G149" s="1" t="s">
        <v>1350</v>
      </c>
      <c r="H149" s="1">
        <v>7.98</v>
      </c>
      <c r="I149" s="1" t="s">
        <v>1351</v>
      </c>
      <c r="J149" s="1" t="s">
        <v>1352</v>
      </c>
      <c r="K149" s="1" t="s">
        <v>1353</v>
      </c>
      <c r="L149" s="1" t="s">
        <v>1354</v>
      </c>
      <c r="M149" s="1" t="s">
        <v>1355</v>
      </c>
    </row>
    <row r="150" spans="1:13" x14ac:dyDescent="0.3">
      <c r="A150" s="1" t="s">
        <v>566</v>
      </c>
      <c r="B150" s="1">
        <v>60</v>
      </c>
      <c r="C150" s="1">
        <v>0</v>
      </c>
      <c r="D150" s="1" t="s">
        <v>677</v>
      </c>
      <c r="E150" s="1" t="s">
        <v>672</v>
      </c>
      <c r="F150" s="1">
        <v>92</v>
      </c>
      <c r="G150" s="1" t="s">
        <v>1356</v>
      </c>
      <c r="H150" s="1">
        <v>49</v>
      </c>
      <c r="I150" s="1" t="s">
        <v>1357</v>
      </c>
      <c r="J150" s="1" t="s">
        <v>1358</v>
      </c>
      <c r="K150" s="1" t="s">
        <v>1359</v>
      </c>
      <c r="L150" s="1" t="s">
        <v>1360</v>
      </c>
      <c r="M150" s="1" t="s">
        <v>1361</v>
      </c>
    </row>
    <row r="151" spans="1:13" x14ac:dyDescent="0.3">
      <c r="A151" s="1" t="s">
        <v>575</v>
      </c>
      <c r="B151" s="1">
        <v>4</v>
      </c>
      <c r="C151" s="1">
        <v>0</v>
      </c>
      <c r="D151" s="1" t="s">
        <v>715</v>
      </c>
      <c r="E151" s="1" t="s">
        <v>690</v>
      </c>
      <c r="F151" s="1">
        <v>38</v>
      </c>
      <c r="G151" s="1" t="s">
        <v>1362</v>
      </c>
      <c r="H151" s="1">
        <v>2.1</v>
      </c>
      <c r="I151" s="1" t="s">
        <v>1363</v>
      </c>
      <c r="J151" s="1" t="s">
        <v>1364</v>
      </c>
      <c r="K151" s="1">
        <v>0</v>
      </c>
      <c r="L151" s="1" t="s">
        <v>1365</v>
      </c>
      <c r="M151" s="1" t="s">
        <v>1366</v>
      </c>
    </row>
    <row r="152" spans="1:13" x14ac:dyDescent="0.3">
      <c r="A152" s="1" t="s">
        <v>536</v>
      </c>
      <c r="B152" s="1">
        <v>1</v>
      </c>
      <c r="C152" s="1">
        <v>0</v>
      </c>
      <c r="D152" s="1" t="s">
        <v>710</v>
      </c>
      <c r="E152" s="1" t="s">
        <v>690</v>
      </c>
      <c r="F152" s="1" t="s">
        <v>693</v>
      </c>
      <c r="G152" s="1"/>
      <c r="H152" s="1"/>
      <c r="I152" s="1" t="s">
        <v>1367</v>
      </c>
      <c r="J152" s="1" t="s">
        <v>1368</v>
      </c>
      <c r="K152" s="1" t="s">
        <v>1369</v>
      </c>
      <c r="L152" s="1" t="s">
        <v>1370</v>
      </c>
      <c r="M152" s="1"/>
    </row>
    <row r="153" spans="1:13" x14ac:dyDescent="0.3">
      <c r="A153" s="1" t="s">
        <v>539</v>
      </c>
      <c r="B153" s="1">
        <v>1</v>
      </c>
      <c r="C153" s="1">
        <v>0</v>
      </c>
      <c r="D153" s="1" t="s">
        <v>710</v>
      </c>
      <c r="E153" s="1" t="s">
        <v>690</v>
      </c>
      <c r="F153" s="1">
        <v>74</v>
      </c>
      <c r="G153" s="1" t="s">
        <v>1371</v>
      </c>
      <c r="H153" s="1">
        <v>0.2</v>
      </c>
      <c r="I153" s="1" t="s">
        <v>1363</v>
      </c>
      <c r="J153" s="1" t="s">
        <v>1372</v>
      </c>
      <c r="K153" s="1">
        <v>0</v>
      </c>
      <c r="L153" s="1" t="s">
        <v>1373</v>
      </c>
      <c r="M153" s="1" t="s">
        <v>1374</v>
      </c>
    </row>
    <row r="154" spans="1:13" x14ac:dyDescent="0.3">
      <c r="A154" s="1" t="s">
        <v>526</v>
      </c>
      <c r="B154" s="1">
        <v>1</v>
      </c>
      <c r="C154" s="1">
        <v>0</v>
      </c>
      <c r="D154" s="1" t="s">
        <v>710</v>
      </c>
      <c r="E154" s="1" t="s">
        <v>690</v>
      </c>
      <c r="F154" s="1">
        <v>77.7</v>
      </c>
      <c r="G154" s="1" t="s">
        <v>1375</v>
      </c>
      <c r="H154" s="1">
        <v>0.5</v>
      </c>
      <c r="I154" s="1" t="s">
        <v>1363</v>
      </c>
      <c r="J154" s="1" t="s">
        <v>1376</v>
      </c>
      <c r="K154" s="1">
        <v>0</v>
      </c>
      <c r="L154" s="1" t="s">
        <v>1377</v>
      </c>
      <c r="M154" s="1" t="s">
        <v>1378</v>
      </c>
    </row>
    <row r="155" spans="1:13" x14ac:dyDescent="0.3">
      <c r="A155" s="1" t="s">
        <v>519</v>
      </c>
      <c r="B155" s="1">
        <v>2</v>
      </c>
      <c r="C155" s="1">
        <v>0</v>
      </c>
      <c r="D155" s="1" t="s">
        <v>690</v>
      </c>
      <c r="E155" s="1" t="s">
        <v>710</v>
      </c>
      <c r="F155" s="1">
        <v>75</v>
      </c>
      <c r="G155" s="1" t="s">
        <v>1379</v>
      </c>
      <c r="H155" s="1">
        <v>10.6</v>
      </c>
      <c r="I155" s="1" t="s">
        <v>1380</v>
      </c>
      <c r="J155" s="1" t="s">
        <v>1381</v>
      </c>
      <c r="K155" s="1">
        <v>0</v>
      </c>
      <c r="L155" s="1" t="s">
        <v>1382</v>
      </c>
      <c r="M155" s="1" t="s">
        <v>1383</v>
      </c>
    </row>
    <row r="156" spans="1:13" x14ac:dyDescent="0.3">
      <c r="A156" s="1" t="s">
        <v>516</v>
      </c>
      <c r="B156" s="1">
        <v>1</v>
      </c>
      <c r="C156" s="1">
        <v>0</v>
      </c>
      <c r="D156" s="1" t="s">
        <v>710</v>
      </c>
      <c r="E156" s="1" t="s">
        <v>710</v>
      </c>
      <c r="F156" s="1" t="s">
        <v>693</v>
      </c>
      <c r="G156" s="1"/>
      <c r="H156" s="1">
        <v>0</v>
      </c>
      <c r="I156" s="1" t="s">
        <v>1384</v>
      </c>
      <c r="J156" s="1" t="s">
        <v>1385</v>
      </c>
      <c r="K156" s="1" t="s">
        <v>1386</v>
      </c>
      <c r="L156" s="1" t="s">
        <v>1387</v>
      </c>
      <c r="M156" s="1"/>
    </row>
    <row r="157" spans="1:13" x14ac:dyDescent="0.3">
      <c r="A157" s="1" t="s">
        <v>560</v>
      </c>
      <c r="B157" s="1">
        <v>0</v>
      </c>
      <c r="C157" s="1">
        <v>0</v>
      </c>
      <c r="D157" s="1" t="s">
        <v>857</v>
      </c>
      <c r="E157" s="1" t="s">
        <v>857</v>
      </c>
      <c r="F157" s="1">
        <v>61.5</v>
      </c>
      <c r="G157" s="1" t="s">
        <v>1195</v>
      </c>
      <c r="H157" s="1">
        <v>2</v>
      </c>
      <c r="I157" s="1" t="s">
        <v>1388</v>
      </c>
      <c r="J157" s="1" t="s">
        <v>1389</v>
      </c>
      <c r="K157" s="1" t="s">
        <v>1390</v>
      </c>
      <c r="L157" s="1">
        <v>0</v>
      </c>
      <c r="M157" s="1" t="s">
        <v>1391</v>
      </c>
    </row>
    <row r="158" spans="1:13" x14ac:dyDescent="0.3">
      <c r="A158" s="1" t="s">
        <v>592</v>
      </c>
      <c r="B158" s="1">
        <v>36</v>
      </c>
      <c r="C158" s="1">
        <v>0</v>
      </c>
      <c r="D158" s="1" t="s">
        <v>923</v>
      </c>
      <c r="E158" s="1" t="s">
        <v>1392</v>
      </c>
      <c r="F158" s="1">
        <v>99</v>
      </c>
      <c r="G158" s="1" t="s">
        <v>1393</v>
      </c>
      <c r="H158" s="1">
        <v>17.600000000000001</v>
      </c>
      <c r="I158" s="1" t="s">
        <v>1394</v>
      </c>
      <c r="J158" s="1" t="s">
        <v>1395</v>
      </c>
      <c r="K158" s="1" t="s">
        <v>1396</v>
      </c>
      <c r="L158" s="1" t="s">
        <v>1397</v>
      </c>
      <c r="M158" s="1" t="s">
        <v>1398</v>
      </c>
    </row>
    <row r="159" spans="1:13" x14ac:dyDescent="0.3">
      <c r="A159" s="1" t="s">
        <v>589</v>
      </c>
      <c r="B159" s="1">
        <v>3</v>
      </c>
      <c r="C159" s="1">
        <v>0</v>
      </c>
      <c r="D159" s="1" t="s">
        <v>698</v>
      </c>
      <c r="E159" s="1" t="s">
        <v>1066</v>
      </c>
      <c r="F159" s="1">
        <v>60.6</v>
      </c>
      <c r="G159" s="1" t="s">
        <v>1399</v>
      </c>
      <c r="H159" s="1">
        <v>2.2999999999999998</v>
      </c>
      <c r="I159" s="1" t="s">
        <v>1400</v>
      </c>
      <c r="J159" s="1" t="s">
        <v>1401</v>
      </c>
      <c r="K159" s="1" t="s">
        <v>1402</v>
      </c>
      <c r="L159" s="1" t="s">
        <v>1403</v>
      </c>
      <c r="M159" s="1" t="s">
        <v>1404</v>
      </c>
    </row>
    <row r="160" spans="1:13" x14ac:dyDescent="0.3">
      <c r="A160" s="1" t="s">
        <v>583</v>
      </c>
      <c r="B160" s="1">
        <v>13</v>
      </c>
      <c r="C160" s="1">
        <v>0</v>
      </c>
      <c r="D160" s="1" t="s">
        <v>1349</v>
      </c>
      <c r="E160" s="1" t="s">
        <v>672</v>
      </c>
      <c r="F160" s="1">
        <v>88</v>
      </c>
      <c r="G160" s="1" t="s">
        <v>1405</v>
      </c>
      <c r="H160" s="1">
        <v>5.0999999999999996</v>
      </c>
      <c r="I160" s="1" t="s">
        <v>1406</v>
      </c>
      <c r="J160" s="1" t="s">
        <v>1407</v>
      </c>
      <c r="K160" s="1" t="s">
        <v>1408</v>
      </c>
      <c r="L160" s="1" t="s">
        <v>1409</v>
      </c>
      <c r="M160" s="1" t="s">
        <v>1410</v>
      </c>
    </row>
    <row r="161" spans="1:13" x14ac:dyDescent="0.3">
      <c r="A161" s="1" t="s">
        <v>545</v>
      </c>
      <c r="B161" s="1">
        <v>1</v>
      </c>
      <c r="C161" s="1">
        <v>0</v>
      </c>
      <c r="D161" s="1" t="s">
        <v>710</v>
      </c>
      <c r="E161" s="1" t="s">
        <v>710</v>
      </c>
      <c r="F161" s="1">
        <v>87.4</v>
      </c>
      <c r="G161" s="1" t="s">
        <v>1411</v>
      </c>
      <c r="H161" s="1">
        <v>1.9</v>
      </c>
      <c r="I161" s="1" t="s">
        <v>1380</v>
      </c>
      <c r="J161" s="1" t="s">
        <v>1412</v>
      </c>
      <c r="K161" s="1"/>
      <c r="L161" s="1"/>
      <c r="M161" s="1"/>
    </row>
    <row r="162" spans="1:13" x14ac:dyDescent="0.3">
      <c r="A162" s="1" t="s">
        <v>596</v>
      </c>
      <c r="B162" s="1">
        <v>1</v>
      </c>
      <c r="C162" s="1">
        <v>0</v>
      </c>
      <c r="D162" s="1" t="s">
        <v>710</v>
      </c>
      <c r="E162" s="1" t="s">
        <v>710</v>
      </c>
      <c r="F162" s="1">
        <v>4</v>
      </c>
      <c r="G162" s="1"/>
      <c r="H162" s="1">
        <v>0</v>
      </c>
      <c r="I162" s="1" t="s">
        <v>1413</v>
      </c>
      <c r="J162" s="1" t="s">
        <v>1414</v>
      </c>
      <c r="K162" s="1" t="s">
        <v>1415</v>
      </c>
      <c r="L162" s="1"/>
      <c r="M162" s="1" t="s">
        <v>1416</v>
      </c>
    </row>
    <row r="163" spans="1:13" x14ac:dyDescent="0.3">
      <c r="A163" s="1" t="s">
        <v>554</v>
      </c>
      <c r="B163" s="1">
        <v>13</v>
      </c>
      <c r="C163" s="1">
        <v>0</v>
      </c>
      <c r="D163" s="1" t="s">
        <v>1349</v>
      </c>
      <c r="E163" s="1" t="s">
        <v>681</v>
      </c>
      <c r="F163" s="1">
        <v>92</v>
      </c>
      <c r="G163" s="1" t="s">
        <v>1417</v>
      </c>
      <c r="H163" s="1">
        <v>5.5</v>
      </c>
      <c r="I163" s="1" t="s">
        <v>1312</v>
      </c>
      <c r="J163" s="1" t="s">
        <v>1418</v>
      </c>
      <c r="K163" s="1" t="s">
        <v>1419</v>
      </c>
      <c r="L163" s="1" t="s">
        <v>1420</v>
      </c>
      <c r="M163" s="1" t="s">
        <v>1421</v>
      </c>
    </row>
    <row r="164" spans="1:13" x14ac:dyDescent="0.3">
      <c r="A164" s="1" t="s">
        <v>541</v>
      </c>
      <c r="B164" s="1">
        <v>21</v>
      </c>
      <c r="C164" s="1">
        <v>0</v>
      </c>
      <c r="D164" s="1" t="s">
        <v>1334</v>
      </c>
      <c r="E164" s="1" t="s">
        <v>681</v>
      </c>
      <c r="F164" s="1">
        <v>92</v>
      </c>
      <c r="G164" s="1" t="s">
        <v>1422</v>
      </c>
      <c r="H164" s="1">
        <v>7</v>
      </c>
      <c r="I164" s="1" t="s">
        <v>1312</v>
      </c>
      <c r="J164" s="1" t="s">
        <v>1423</v>
      </c>
      <c r="K164" s="1" t="s">
        <v>1424</v>
      </c>
      <c r="L164" s="1" t="s">
        <v>1425</v>
      </c>
      <c r="M164" s="1" t="s">
        <v>1426</v>
      </c>
    </row>
    <row r="165" spans="1:13" x14ac:dyDescent="0.3">
      <c r="A165" s="1" t="s">
        <v>559</v>
      </c>
      <c r="B165" s="1">
        <v>1</v>
      </c>
      <c r="C165" s="1">
        <v>0</v>
      </c>
      <c r="D165" s="1" t="s">
        <v>710</v>
      </c>
      <c r="E165" s="1" t="s">
        <v>710</v>
      </c>
      <c r="F165" s="1">
        <v>2</v>
      </c>
      <c r="G165" s="1"/>
      <c r="H165" s="1">
        <v>4</v>
      </c>
      <c r="I165" s="1" t="s">
        <v>1427</v>
      </c>
      <c r="J165" s="1" t="s">
        <v>1428</v>
      </c>
      <c r="K165" s="1" t="s">
        <v>1429</v>
      </c>
      <c r="L165" s="1"/>
      <c r="M165" s="1" t="s">
        <v>1430</v>
      </c>
    </row>
    <row r="166" spans="1:13" x14ac:dyDescent="0.3">
      <c r="A166" s="1" t="s">
        <v>653</v>
      </c>
      <c r="B166" s="1">
        <v>11</v>
      </c>
      <c r="C166" s="1">
        <v>0</v>
      </c>
      <c r="D166" s="1" t="s">
        <v>1112</v>
      </c>
      <c r="E166" s="1" t="s">
        <v>722</v>
      </c>
      <c r="F166" s="1">
        <v>55.2</v>
      </c>
      <c r="G166" s="1" t="s">
        <v>1431</v>
      </c>
      <c r="H166" s="1">
        <v>3.5</v>
      </c>
      <c r="I166" s="1" t="s">
        <v>1432</v>
      </c>
      <c r="J166" s="1" t="s">
        <v>1433</v>
      </c>
      <c r="K166" s="1" t="s">
        <v>1434</v>
      </c>
      <c r="L166" s="1" t="s">
        <v>1435</v>
      </c>
      <c r="M166" s="1" t="s">
        <v>1436</v>
      </c>
    </row>
    <row r="167" spans="1:13" x14ac:dyDescent="0.3">
      <c r="A167" s="1" t="s">
        <v>651</v>
      </c>
      <c r="B167" s="1">
        <v>1</v>
      </c>
      <c r="C167" s="1">
        <v>0</v>
      </c>
      <c r="D167" s="1" t="s">
        <v>710</v>
      </c>
      <c r="E167" s="1" t="s">
        <v>710</v>
      </c>
      <c r="F167" s="1">
        <v>0</v>
      </c>
      <c r="G167" s="1"/>
      <c r="H167" s="1">
        <v>8</v>
      </c>
      <c r="I167" s="1" t="s">
        <v>1437</v>
      </c>
      <c r="J167" s="1" t="s">
        <v>1438</v>
      </c>
      <c r="K167" s="1" t="s">
        <v>1439</v>
      </c>
      <c r="L167" s="1"/>
      <c r="M167" s="1" t="s">
        <v>1440</v>
      </c>
    </row>
    <row r="168" spans="1:13" x14ac:dyDescent="0.3">
      <c r="A168" s="1" t="s">
        <v>615</v>
      </c>
      <c r="B168" s="1">
        <v>4</v>
      </c>
      <c r="C168" s="1">
        <v>0</v>
      </c>
      <c r="D168" s="1" t="s">
        <v>715</v>
      </c>
      <c r="E168" s="1" t="s">
        <v>1223</v>
      </c>
      <c r="F168" s="1">
        <v>90</v>
      </c>
      <c r="G168" s="1" t="s">
        <v>1441</v>
      </c>
      <c r="H168" s="1">
        <v>7.45</v>
      </c>
      <c r="I168" s="1" t="s">
        <v>1442</v>
      </c>
      <c r="J168" s="1" t="s">
        <v>1443</v>
      </c>
      <c r="K168" s="1" t="s">
        <v>1444</v>
      </c>
      <c r="L168" s="1" t="s">
        <v>1445</v>
      </c>
      <c r="M168" s="1" t="s">
        <v>1446</v>
      </c>
    </row>
    <row r="169" spans="1:13" x14ac:dyDescent="0.3">
      <c r="A169" s="1" t="s">
        <v>655</v>
      </c>
      <c r="B169" s="1">
        <v>3</v>
      </c>
      <c r="C169" s="1">
        <v>0</v>
      </c>
      <c r="D169" s="1" t="s">
        <v>698</v>
      </c>
      <c r="E169" s="1" t="s">
        <v>788</v>
      </c>
      <c r="F169" s="1">
        <v>28.7</v>
      </c>
      <c r="G169" s="1" t="s">
        <v>1447</v>
      </c>
      <c r="H169" s="1">
        <v>1.6</v>
      </c>
      <c r="I169" s="1" t="s">
        <v>1448</v>
      </c>
      <c r="J169" s="1" t="s">
        <v>1449</v>
      </c>
      <c r="K169" s="1" t="s">
        <v>1450</v>
      </c>
      <c r="L169" s="1" t="s">
        <v>1451</v>
      </c>
      <c r="M169" s="1" t="s">
        <v>1452</v>
      </c>
    </row>
    <row r="170" spans="1:13" x14ac:dyDescent="0.3">
      <c r="A170" s="1" t="s">
        <v>562</v>
      </c>
      <c r="B170" s="1">
        <v>1</v>
      </c>
      <c r="C170" s="1">
        <v>0</v>
      </c>
      <c r="D170" s="1" t="s">
        <v>710</v>
      </c>
      <c r="E170" s="1" t="s">
        <v>710</v>
      </c>
      <c r="F170" s="1">
        <v>78.400000000000006</v>
      </c>
      <c r="G170" s="1" t="s">
        <v>1453</v>
      </c>
      <c r="H170" s="1">
        <v>0.9</v>
      </c>
      <c r="I170" s="1" t="s">
        <v>1454</v>
      </c>
      <c r="J170" s="1" t="s">
        <v>1455</v>
      </c>
      <c r="K170" s="1" t="s">
        <v>1456</v>
      </c>
      <c r="L170" s="1" t="s">
        <v>1457</v>
      </c>
      <c r="M170" s="1" t="s">
        <v>1458</v>
      </c>
    </row>
    <row r="171" spans="1:13" x14ac:dyDescent="0.3">
      <c r="A171" s="1" t="s">
        <v>659</v>
      </c>
      <c r="B171" s="1">
        <v>2</v>
      </c>
      <c r="C171" s="1">
        <v>0</v>
      </c>
      <c r="D171" s="1" t="s">
        <v>690</v>
      </c>
      <c r="E171" s="1" t="s">
        <v>710</v>
      </c>
      <c r="F171" s="1">
        <v>35.799999999999997</v>
      </c>
      <c r="G171" s="1"/>
      <c r="H171" s="1"/>
      <c r="I171" s="1" t="s">
        <v>1448</v>
      </c>
      <c r="J171" s="1" t="s">
        <v>1459</v>
      </c>
      <c r="K171" s="1" t="s">
        <v>1460</v>
      </c>
      <c r="L171" s="1"/>
      <c r="M171" s="1" t="s">
        <v>1461</v>
      </c>
    </row>
    <row r="172" spans="1:13" x14ac:dyDescent="0.3">
      <c r="A172" s="1" t="s">
        <v>235</v>
      </c>
      <c r="B172" s="1">
        <v>1</v>
      </c>
      <c r="C172" s="1">
        <v>0</v>
      </c>
      <c r="D172" s="1" t="s">
        <v>710</v>
      </c>
      <c r="E172" s="1" t="s">
        <v>710</v>
      </c>
      <c r="F172" s="1">
        <v>56.8</v>
      </c>
      <c r="G172" s="1" t="s">
        <v>1462</v>
      </c>
      <c r="H172" s="1">
        <v>0.9</v>
      </c>
      <c r="I172" s="1" t="s">
        <v>1448</v>
      </c>
      <c r="J172" s="1" t="s">
        <v>1463</v>
      </c>
      <c r="K172" s="1" t="s">
        <v>1456</v>
      </c>
      <c r="L172" s="1" t="s">
        <v>1464</v>
      </c>
      <c r="M172" s="1" t="s">
        <v>1465</v>
      </c>
    </row>
    <row r="173" spans="1:13" x14ac:dyDescent="0.3">
      <c r="A173" s="1" t="s">
        <v>584</v>
      </c>
      <c r="B173" s="1">
        <v>3</v>
      </c>
      <c r="C173" s="1">
        <v>0</v>
      </c>
      <c r="D173" s="1" t="s">
        <v>698</v>
      </c>
      <c r="E173" s="1" t="s">
        <v>698</v>
      </c>
      <c r="F173" s="1">
        <v>36.299999999999997</v>
      </c>
      <c r="G173" s="1"/>
      <c r="H173" s="1">
        <v>4</v>
      </c>
      <c r="I173" s="1" t="s">
        <v>1448</v>
      </c>
      <c r="J173" s="1" t="s">
        <v>1466</v>
      </c>
      <c r="K173" s="1" t="s">
        <v>1467</v>
      </c>
      <c r="L173" s="1"/>
      <c r="M173" s="1" t="s">
        <v>1465</v>
      </c>
    </row>
    <row r="174" spans="1:13" x14ac:dyDescent="0.3">
      <c r="A174" s="1" t="s">
        <v>567</v>
      </c>
      <c r="B174" s="1">
        <v>1</v>
      </c>
      <c r="C174" s="1">
        <v>0</v>
      </c>
      <c r="D174" s="1" t="s">
        <v>710</v>
      </c>
      <c r="E174" s="1" t="s">
        <v>710</v>
      </c>
      <c r="F174" s="1">
        <v>44.3</v>
      </c>
      <c r="G174" s="1"/>
      <c r="H174" s="1">
        <v>6</v>
      </c>
      <c r="I174" s="1" t="s">
        <v>1448</v>
      </c>
      <c r="J174" s="1" t="s">
        <v>1468</v>
      </c>
      <c r="K174" s="1" t="s">
        <v>1469</v>
      </c>
      <c r="L174" s="1"/>
      <c r="M174" s="1" t="s">
        <v>1470</v>
      </c>
    </row>
    <row r="175" spans="1:13" x14ac:dyDescent="0.3">
      <c r="A175" s="1" t="s">
        <v>631</v>
      </c>
      <c r="B175" s="1">
        <v>1</v>
      </c>
      <c r="C175" s="1">
        <v>0</v>
      </c>
      <c r="D175" s="1" t="s">
        <v>710</v>
      </c>
      <c r="E175" s="1" t="s">
        <v>710</v>
      </c>
      <c r="F175" s="1">
        <v>37</v>
      </c>
      <c r="G175" s="1" t="s">
        <v>1471</v>
      </c>
      <c r="H175" s="1">
        <v>3</v>
      </c>
      <c r="I175" s="1" t="s">
        <v>1448</v>
      </c>
      <c r="J175" s="1" t="s">
        <v>1472</v>
      </c>
      <c r="K175" s="1" t="s">
        <v>1473</v>
      </c>
      <c r="L175" s="1"/>
      <c r="M175" s="1" t="s">
        <v>1474</v>
      </c>
    </row>
    <row r="176" spans="1:13" x14ac:dyDescent="0.3">
      <c r="A176" s="1" t="s">
        <v>521</v>
      </c>
      <c r="B176" s="1">
        <v>1</v>
      </c>
      <c r="C176" s="1">
        <v>0</v>
      </c>
      <c r="D176" s="1" t="s">
        <v>710</v>
      </c>
      <c r="E176" s="1" t="s">
        <v>710</v>
      </c>
      <c r="F176" s="1">
        <v>58.5</v>
      </c>
      <c r="G176" s="1" t="s">
        <v>1475</v>
      </c>
      <c r="H176" s="1">
        <v>-0.4</v>
      </c>
      <c r="I176" s="1" t="s">
        <v>1476</v>
      </c>
      <c r="J176" s="1" t="s">
        <v>1477</v>
      </c>
      <c r="K176" s="1" t="s">
        <v>1478</v>
      </c>
      <c r="L176" s="1" t="s">
        <v>1479</v>
      </c>
      <c r="M176" s="1" t="s">
        <v>1480</v>
      </c>
    </row>
    <row r="177" spans="1:13" x14ac:dyDescent="0.3">
      <c r="A177" s="1" t="s">
        <v>563</v>
      </c>
      <c r="B177" s="1">
        <v>5</v>
      </c>
      <c r="C177" s="1">
        <v>0</v>
      </c>
      <c r="D177" s="1" t="s">
        <v>704</v>
      </c>
      <c r="E177" s="1" t="s">
        <v>788</v>
      </c>
      <c r="F177" s="1">
        <v>84.7</v>
      </c>
      <c r="G177" s="1" t="s">
        <v>1481</v>
      </c>
      <c r="H177" s="1">
        <v>2.2999999999999998</v>
      </c>
      <c r="I177" s="1" t="s">
        <v>1482</v>
      </c>
      <c r="J177" s="1" t="s">
        <v>1483</v>
      </c>
      <c r="K177" s="1" t="s">
        <v>1484</v>
      </c>
      <c r="L177" s="1" t="s">
        <v>1485</v>
      </c>
      <c r="M177" s="1" t="s">
        <v>1486</v>
      </c>
    </row>
    <row r="178" spans="1:13" x14ac:dyDescent="0.3">
      <c r="A178" s="1" t="s">
        <v>621</v>
      </c>
      <c r="B178" s="1">
        <v>6</v>
      </c>
      <c r="C178" s="1">
        <v>0</v>
      </c>
      <c r="D178" s="1" t="s">
        <v>734</v>
      </c>
      <c r="E178" s="1" t="s">
        <v>677</v>
      </c>
      <c r="F178" s="1">
        <v>66.8</v>
      </c>
      <c r="G178" s="1" t="s">
        <v>1487</v>
      </c>
      <c r="H178" s="1">
        <v>10.1</v>
      </c>
      <c r="I178" s="1" t="s">
        <v>1488</v>
      </c>
      <c r="J178" s="1" t="s">
        <v>1489</v>
      </c>
      <c r="K178" s="1" t="s">
        <v>1490</v>
      </c>
      <c r="L178" s="1" t="s">
        <v>1491</v>
      </c>
      <c r="M178" s="1" t="s">
        <v>1492</v>
      </c>
    </row>
    <row r="179" spans="1:13" x14ac:dyDescent="0.3">
      <c r="A179" s="1" t="s">
        <v>632</v>
      </c>
      <c r="B179" s="1">
        <v>32</v>
      </c>
      <c r="C179" s="1">
        <v>0</v>
      </c>
      <c r="D179" s="1" t="s">
        <v>683</v>
      </c>
      <c r="E179" s="1" t="s">
        <v>687</v>
      </c>
      <c r="F179" s="1">
        <v>50</v>
      </c>
      <c r="G179" s="1" t="s">
        <v>1493</v>
      </c>
      <c r="H179" s="1">
        <v>6.5</v>
      </c>
      <c r="I179" s="1" t="s">
        <v>1494</v>
      </c>
      <c r="J179" s="1" t="s">
        <v>1495</v>
      </c>
      <c r="K179" s="1" t="s">
        <v>1496</v>
      </c>
      <c r="L179" s="1" t="s">
        <v>1497</v>
      </c>
      <c r="M179" s="1" t="s">
        <v>1498</v>
      </c>
    </row>
    <row r="180" spans="1:13" x14ac:dyDescent="0.3">
      <c r="A180" s="1" t="s">
        <v>586</v>
      </c>
      <c r="B180" s="1">
        <v>1</v>
      </c>
      <c r="C180" s="1">
        <v>0</v>
      </c>
      <c r="D180" s="1" t="s">
        <v>710</v>
      </c>
      <c r="E180" s="1" t="s">
        <v>710</v>
      </c>
      <c r="F180" s="1">
        <v>34.9</v>
      </c>
      <c r="G180" s="1" t="s">
        <v>1499</v>
      </c>
      <c r="H180" s="1">
        <v>1.9</v>
      </c>
      <c r="I180" s="1" t="s">
        <v>1500</v>
      </c>
      <c r="J180" s="1" t="s">
        <v>1501</v>
      </c>
      <c r="K180" s="1" t="s">
        <v>1502</v>
      </c>
      <c r="L180" s="1" t="s">
        <v>1503</v>
      </c>
      <c r="M180" s="1" t="s">
        <v>1504</v>
      </c>
    </row>
    <row r="181" spans="1:13" x14ac:dyDescent="0.3">
      <c r="A181" s="1" t="s">
        <v>514</v>
      </c>
      <c r="B181" s="1">
        <v>1</v>
      </c>
      <c r="C181" s="1">
        <v>0</v>
      </c>
      <c r="D181" s="1" t="s">
        <v>710</v>
      </c>
      <c r="E181" s="1" t="s">
        <v>710</v>
      </c>
      <c r="F181" s="1">
        <v>5</v>
      </c>
      <c r="G181" s="1" t="s">
        <v>1505</v>
      </c>
      <c r="H181" s="1">
        <v>1</v>
      </c>
      <c r="I181" s="1" t="s">
        <v>1506</v>
      </c>
      <c r="J181" s="1" t="s">
        <v>1507</v>
      </c>
      <c r="K181" s="1" t="s">
        <v>1508</v>
      </c>
      <c r="L181" s="1"/>
      <c r="M181" s="1" t="s">
        <v>1509</v>
      </c>
    </row>
    <row r="182" spans="1:13" x14ac:dyDescent="0.3">
      <c r="A182" s="1" t="s">
        <v>623</v>
      </c>
      <c r="B182" s="1">
        <v>6</v>
      </c>
      <c r="C182" s="1">
        <v>0</v>
      </c>
      <c r="D182" s="1" t="s">
        <v>734</v>
      </c>
      <c r="E182" s="1" t="s">
        <v>794</v>
      </c>
      <c r="F182" s="1">
        <v>28</v>
      </c>
      <c r="G182" s="1"/>
      <c r="H182" s="1">
        <v>7.8</v>
      </c>
      <c r="I182" s="1" t="s">
        <v>1510</v>
      </c>
      <c r="J182" s="1" t="s">
        <v>1511</v>
      </c>
      <c r="K182" s="1" t="s">
        <v>1512</v>
      </c>
      <c r="L182" s="1" t="s">
        <v>1513</v>
      </c>
      <c r="M182" s="1" t="s">
        <v>1514</v>
      </c>
    </row>
    <row r="183" spans="1:13" x14ac:dyDescent="0.3">
      <c r="A183" s="1" t="s">
        <v>637</v>
      </c>
      <c r="B183" s="1">
        <v>55</v>
      </c>
      <c r="C183" s="1">
        <v>0</v>
      </c>
      <c r="D183" s="1" t="s">
        <v>1515</v>
      </c>
      <c r="E183" s="1" t="s">
        <v>667</v>
      </c>
      <c r="F183" s="1">
        <v>82.4</v>
      </c>
      <c r="G183" s="1" t="s">
        <v>1516</v>
      </c>
      <c r="H183" s="1">
        <v>9.5500000000000007</v>
      </c>
      <c r="I183" s="1" t="s">
        <v>1517</v>
      </c>
      <c r="J183" s="1" t="s">
        <v>1518</v>
      </c>
      <c r="K183" s="1" t="s">
        <v>1519</v>
      </c>
      <c r="L183" s="1" t="s">
        <v>1520</v>
      </c>
      <c r="M183" s="1" t="s">
        <v>1521</v>
      </c>
    </row>
    <row r="184" spans="1:13" x14ac:dyDescent="0.3">
      <c r="A184" s="1" t="s">
        <v>233</v>
      </c>
      <c r="B184" s="1">
        <v>31</v>
      </c>
      <c r="C184" s="1">
        <v>1</v>
      </c>
      <c r="D184" s="1" t="s">
        <v>869</v>
      </c>
      <c r="E184" s="1" t="s">
        <v>665</v>
      </c>
      <c r="F184" s="1">
        <v>60</v>
      </c>
      <c r="G184" s="1" t="s">
        <v>1522</v>
      </c>
      <c r="H184" s="1">
        <v>17.600000000000001</v>
      </c>
      <c r="I184" s="1" t="s">
        <v>1523</v>
      </c>
      <c r="J184" s="1" t="s">
        <v>1524</v>
      </c>
      <c r="K184" s="1" t="s">
        <v>1525</v>
      </c>
      <c r="L184" s="1" t="s">
        <v>1526</v>
      </c>
      <c r="M184" s="1" t="s">
        <v>1527</v>
      </c>
    </row>
    <row r="185" spans="1:13" x14ac:dyDescent="0.3">
      <c r="A185" s="1" t="s">
        <v>533</v>
      </c>
      <c r="B185" s="1">
        <v>9</v>
      </c>
      <c r="C185" s="1">
        <v>0</v>
      </c>
      <c r="D185" s="1" t="s">
        <v>1149</v>
      </c>
      <c r="E185" s="1" t="s">
        <v>1131</v>
      </c>
      <c r="F185" s="1">
        <v>98</v>
      </c>
      <c r="G185" s="1" t="s">
        <v>1528</v>
      </c>
      <c r="H185" s="1">
        <v>7.91</v>
      </c>
      <c r="I185" s="1" t="s">
        <v>1529</v>
      </c>
      <c r="J185" s="1" t="s">
        <v>1530</v>
      </c>
      <c r="K185" s="1" t="s">
        <v>1531</v>
      </c>
      <c r="L185" s="1" t="s">
        <v>1532</v>
      </c>
      <c r="M185" s="1" t="s">
        <v>1533</v>
      </c>
    </row>
    <row r="186" spans="1:13" x14ac:dyDescent="0.3">
      <c r="A186" s="1" t="s">
        <v>590</v>
      </c>
      <c r="B186" s="1">
        <v>3</v>
      </c>
      <c r="C186" s="1">
        <v>0</v>
      </c>
      <c r="D186" s="1" t="s">
        <v>698</v>
      </c>
      <c r="E186" s="1" t="s">
        <v>794</v>
      </c>
      <c r="F186" s="1">
        <v>98</v>
      </c>
      <c r="G186" s="1" t="s">
        <v>1534</v>
      </c>
      <c r="H186" s="1">
        <v>14</v>
      </c>
      <c r="I186" s="1" t="s">
        <v>1535</v>
      </c>
      <c r="J186" s="1" t="s">
        <v>1536</v>
      </c>
      <c r="K186" s="1" t="s">
        <v>1537</v>
      </c>
      <c r="L186" s="1" t="s">
        <v>1538</v>
      </c>
      <c r="M186" s="1" t="s">
        <v>1539</v>
      </c>
    </row>
    <row r="187" spans="1:13" x14ac:dyDescent="0.3">
      <c r="A187" s="1" t="s">
        <v>534</v>
      </c>
      <c r="B187" s="1">
        <v>2</v>
      </c>
      <c r="C187" s="1">
        <v>0</v>
      </c>
      <c r="D187" s="1" t="s">
        <v>690</v>
      </c>
      <c r="E187" s="1" t="s">
        <v>690</v>
      </c>
      <c r="F187" s="1">
        <v>35</v>
      </c>
      <c r="G187" s="1" t="s">
        <v>1540</v>
      </c>
      <c r="H187" s="1">
        <v>2</v>
      </c>
      <c r="I187" s="1" t="s">
        <v>1541</v>
      </c>
      <c r="J187" s="1" t="s">
        <v>1542</v>
      </c>
      <c r="K187" s="1" t="s">
        <v>1543</v>
      </c>
      <c r="L187" s="1" t="s">
        <v>1544</v>
      </c>
      <c r="M187" s="1" t="s">
        <v>1545</v>
      </c>
    </row>
    <row r="188" spans="1:13" x14ac:dyDescent="0.3">
      <c r="A188" s="1" t="s">
        <v>634</v>
      </c>
      <c r="B188" s="1">
        <v>6</v>
      </c>
      <c r="C188" s="1">
        <v>0</v>
      </c>
      <c r="D188" s="1" t="s">
        <v>734</v>
      </c>
      <c r="E188" s="1" t="s">
        <v>711</v>
      </c>
      <c r="F188" s="1">
        <v>44</v>
      </c>
      <c r="G188" s="1" t="s">
        <v>1546</v>
      </c>
      <c r="H188" s="1">
        <v>3</v>
      </c>
      <c r="I188" s="1" t="s">
        <v>1547</v>
      </c>
      <c r="J188" s="1" t="s">
        <v>1548</v>
      </c>
      <c r="K188" s="1" t="s">
        <v>1549</v>
      </c>
      <c r="L188" s="1" t="s">
        <v>1550</v>
      </c>
      <c r="M188" s="1" t="s">
        <v>1551</v>
      </c>
    </row>
    <row r="189" spans="1:13" x14ac:dyDescent="0.3">
      <c r="A189" s="1" t="s">
        <v>582</v>
      </c>
      <c r="B189" s="1">
        <v>32</v>
      </c>
      <c r="C189" s="1">
        <v>1</v>
      </c>
      <c r="D189" s="1" t="s">
        <v>683</v>
      </c>
      <c r="E189" s="1" t="s">
        <v>1552</v>
      </c>
      <c r="F189" s="1">
        <v>80.7</v>
      </c>
      <c r="G189" s="1" t="s">
        <v>1553</v>
      </c>
      <c r="H189" s="1">
        <v>17.899999999999999</v>
      </c>
      <c r="I189" s="1" t="s">
        <v>1554</v>
      </c>
      <c r="J189" s="1" t="s">
        <v>1555</v>
      </c>
      <c r="K189" s="1" t="s">
        <v>1556</v>
      </c>
      <c r="L189" s="1" t="s">
        <v>1557</v>
      </c>
      <c r="M189" s="1" t="s">
        <v>1558</v>
      </c>
    </row>
    <row r="190" spans="1:13" x14ac:dyDescent="0.3">
      <c r="A190" s="1" t="s">
        <v>657</v>
      </c>
      <c r="B190" s="1">
        <v>1</v>
      </c>
      <c r="C190" s="1">
        <v>0</v>
      </c>
      <c r="D190" s="1" t="s">
        <v>710</v>
      </c>
      <c r="E190" s="1" t="s">
        <v>857</v>
      </c>
      <c r="F190" s="1">
        <v>45</v>
      </c>
      <c r="G190" s="1" t="s">
        <v>1559</v>
      </c>
      <c r="H190" s="1">
        <v>0</v>
      </c>
      <c r="I190" s="1" t="s">
        <v>1560</v>
      </c>
      <c r="J190" s="1" t="s">
        <v>1561</v>
      </c>
      <c r="K190" s="1" t="s">
        <v>1562</v>
      </c>
      <c r="L190" s="1"/>
      <c r="M190" s="1" t="s">
        <v>1563</v>
      </c>
    </row>
    <row r="191" spans="1:13" x14ac:dyDescent="0.3">
      <c r="A191" s="1" t="s">
        <v>571</v>
      </c>
      <c r="B191" s="1">
        <v>2</v>
      </c>
      <c r="C191" s="1">
        <v>0</v>
      </c>
      <c r="D191" s="1" t="s">
        <v>690</v>
      </c>
      <c r="E191" s="1" t="s">
        <v>698</v>
      </c>
      <c r="F191" s="1">
        <v>33</v>
      </c>
      <c r="G191" s="1" t="s">
        <v>1564</v>
      </c>
      <c r="H191" s="1">
        <v>6.29</v>
      </c>
      <c r="I191" s="1" t="s">
        <v>1565</v>
      </c>
      <c r="J191" s="1" t="s">
        <v>1566</v>
      </c>
      <c r="K191" s="1" t="s">
        <v>1567</v>
      </c>
      <c r="L191" s="1" t="s">
        <v>1568</v>
      </c>
      <c r="M191" s="1" t="s">
        <v>1465</v>
      </c>
    </row>
    <row r="192" spans="1:13" x14ac:dyDescent="0.3">
      <c r="A192" s="1" t="s">
        <v>629</v>
      </c>
      <c r="B192" s="1">
        <v>2</v>
      </c>
      <c r="C192" s="1">
        <v>0</v>
      </c>
      <c r="D192" s="1" t="s">
        <v>690</v>
      </c>
      <c r="E192" s="1" t="s">
        <v>704</v>
      </c>
      <c r="F192" s="1">
        <v>3</v>
      </c>
      <c r="G192" s="1" t="s">
        <v>1559</v>
      </c>
      <c r="H192" s="1">
        <v>0</v>
      </c>
      <c r="I192" s="1" t="s">
        <v>1569</v>
      </c>
      <c r="J192" s="1" t="s">
        <v>1570</v>
      </c>
      <c r="K192" s="1" t="s">
        <v>1571</v>
      </c>
      <c r="L192" s="1"/>
      <c r="M192" s="1" t="s">
        <v>1572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88D6-EFC1-410F-98A0-81C510DCA328}">
  <dimension ref="A1:M20"/>
  <sheetViews>
    <sheetView workbookViewId="0">
      <selection activeCell="A3" sqref="A3"/>
    </sheetView>
  </sheetViews>
  <sheetFormatPr defaultRowHeight="14.4" x14ac:dyDescent="0.3"/>
  <cols>
    <col min="1" max="1" width="14" bestFit="1" customWidth="1"/>
    <col min="2" max="2" width="17.88671875" bestFit="1" customWidth="1"/>
    <col min="3" max="3" width="23.77734375" bestFit="1" customWidth="1"/>
    <col min="4" max="4" width="23.6640625" bestFit="1" customWidth="1"/>
    <col min="5" max="5" width="24.88671875" bestFit="1" customWidth="1"/>
    <col min="6" max="6" width="39.109375" bestFit="1" customWidth="1"/>
    <col min="7" max="7" width="31.44140625" bestFit="1" customWidth="1"/>
    <col min="8" max="8" width="42.21875" bestFit="1" customWidth="1"/>
    <col min="9" max="9" width="29.6640625" bestFit="1" customWidth="1"/>
    <col min="10" max="10" width="43.6640625" bestFit="1" customWidth="1"/>
    <col min="11" max="11" width="31" bestFit="1" customWidth="1"/>
    <col min="12" max="12" width="36.5546875" bestFit="1" customWidth="1"/>
    <col min="13" max="13" width="29.21875" bestFit="1" customWidth="1"/>
  </cols>
  <sheetData>
    <row r="1" spans="1:13" x14ac:dyDescent="0.3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</row>
    <row r="2" spans="1:13" x14ac:dyDescent="0.3">
      <c r="A2" s="1" t="s">
        <v>2</v>
      </c>
      <c r="B2" s="1">
        <v>5426</v>
      </c>
      <c r="C2" s="1">
        <v>300</v>
      </c>
      <c r="D2" s="1">
        <v>2000</v>
      </c>
      <c r="E2" s="1">
        <v>12000</v>
      </c>
      <c r="F2" s="1" t="s">
        <v>106</v>
      </c>
      <c r="G2" s="1" t="s">
        <v>3</v>
      </c>
      <c r="H2" s="1">
        <v>0.12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</row>
    <row r="3" spans="1:13" x14ac:dyDescent="0.3">
      <c r="A3" s="1" t="s">
        <v>9</v>
      </c>
      <c r="B3" s="1">
        <v>529</v>
      </c>
      <c r="C3" s="1">
        <v>50</v>
      </c>
      <c r="D3" s="1">
        <v>200</v>
      </c>
      <c r="E3" s="1">
        <v>2000</v>
      </c>
      <c r="F3" s="1" t="s">
        <v>105</v>
      </c>
      <c r="G3" s="1" t="s">
        <v>10</v>
      </c>
      <c r="H3" s="1">
        <v>0.08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</row>
    <row r="4" spans="1:13" x14ac:dyDescent="0.3">
      <c r="A4" s="1" t="s">
        <v>16</v>
      </c>
      <c r="B4" s="1">
        <v>523</v>
      </c>
      <c r="C4" s="1">
        <v>30</v>
      </c>
      <c r="D4" s="1">
        <v>150</v>
      </c>
      <c r="E4" s="1">
        <v>1000</v>
      </c>
      <c r="F4" s="1" t="s">
        <v>214</v>
      </c>
      <c r="G4" s="1" t="s">
        <v>17</v>
      </c>
      <c r="H4" s="1">
        <v>7.0000000000000007E-2</v>
      </c>
      <c r="I4" s="1" t="s">
        <v>18</v>
      </c>
      <c r="J4" s="1" t="s">
        <v>19</v>
      </c>
      <c r="K4" s="1" t="s">
        <v>13</v>
      </c>
      <c r="L4" s="1" t="s">
        <v>20</v>
      </c>
      <c r="M4" s="1" t="s">
        <v>15</v>
      </c>
    </row>
    <row r="5" spans="1:13" x14ac:dyDescent="0.3">
      <c r="A5" s="1" t="s">
        <v>21</v>
      </c>
      <c r="B5" s="1">
        <v>449</v>
      </c>
      <c r="C5" s="1">
        <v>100</v>
      </c>
      <c r="D5" s="1">
        <v>1000</v>
      </c>
      <c r="E5" s="1">
        <v>8000</v>
      </c>
      <c r="F5" s="1" t="s">
        <v>215</v>
      </c>
      <c r="G5" s="1" t="s">
        <v>22</v>
      </c>
      <c r="H5" s="1">
        <v>0.15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15</v>
      </c>
    </row>
    <row r="6" spans="1:13" x14ac:dyDescent="0.3">
      <c r="A6" s="1" t="s">
        <v>27</v>
      </c>
      <c r="B6" s="1">
        <v>322</v>
      </c>
      <c r="C6" s="1">
        <v>20</v>
      </c>
      <c r="D6" s="1">
        <v>110</v>
      </c>
      <c r="E6" s="1">
        <v>700</v>
      </c>
      <c r="F6" s="1" t="s">
        <v>105</v>
      </c>
      <c r="G6" s="1" t="s">
        <v>28</v>
      </c>
      <c r="H6" s="1">
        <v>0.06</v>
      </c>
      <c r="I6" s="1" t="s">
        <v>23</v>
      </c>
      <c r="J6" s="1" t="s">
        <v>29</v>
      </c>
      <c r="K6" s="1" t="s">
        <v>30</v>
      </c>
      <c r="L6" s="1" t="s">
        <v>31</v>
      </c>
      <c r="M6" s="1" t="s">
        <v>15</v>
      </c>
    </row>
    <row r="7" spans="1:13" x14ac:dyDescent="0.3">
      <c r="A7" s="1" t="s">
        <v>32</v>
      </c>
      <c r="B7" s="1">
        <v>336</v>
      </c>
      <c r="C7" s="1">
        <v>15</v>
      </c>
      <c r="D7" s="1">
        <v>100</v>
      </c>
      <c r="E7" s="1">
        <v>500</v>
      </c>
      <c r="F7" s="1" t="s">
        <v>216</v>
      </c>
      <c r="G7" s="1" t="s">
        <v>33</v>
      </c>
      <c r="H7" s="1">
        <v>0.09</v>
      </c>
      <c r="I7" s="1" t="s">
        <v>34</v>
      </c>
      <c r="J7" s="1" t="s">
        <v>35</v>
      </c>
      <c r="K7" s="1" t="s">
        <v>6</v>
      </c>
      <c r="L7" s="1" t="s">
        <v>36</v>
      </c>
      <c r="M7" s="1" t="s">
        <v>15</v>
      </c>
    </row>
    <row r="8" spans="1:13" x14ac:dyDescent="0.3">
      <c r="A8" s="1" t="s">
        <v>37</v>
      </c>
      <c r="B8" s="1">
        <v>314</v>
      </c>
      <c r="C8" s="1">
        <v>20</v>
      </c>
      <c r="D8" s="1">
        <v>80</v>
      </c>
      <c r="E8" s="1">
        <v>1200</v>
      </c>
      <c r="F8" s="1" t="s">
        <v>217</v>
      </c>
      <c r="G8" s="1" t="s">
        <v>38</v>
      </c>
      <c r="H8" s="1">
        <v>0.1</v>
      </c>
      <c r="I8" s="1" t="s">
        <v>34</v>
      </c>
      <c r="J8" s="1" t="s">
        <v>39</v>
      </c>
      <c r="K8" s="1" t="s">
        <v>40</v>
      </c>
      <c r="L8" s="1" t="s">
        <v>41</v>
      </c>
      <c r="M8" s="1" t="s">
        <v>15</v>
      </c>
    </row>
    <row r="9" spans="1:13" x14ac:dyDescent="0.3">
      <c r="A9" s="1" t="s">
        <v>42</v>
      </c>
      <c r="B9" s="1">
        <v>298</v>
      </c>
      <c r="C9" s="1">
        <v>15</v>
      </c>
      <c r="D9" s="1">
        <v>90</v>
      </c>
      <c r="E9" s="1">
        <v>700</v>
      </c>
      <c r="F9" s="1" t="s">
        <v>218</v>
      </c>
      <c r="G9" s="1" t="s">
        <v>43</v>
      </c>
      <c r="H9" s="1">
        <v>0.08</v>
      </c>
      <c r="I9" s="1" t="s">
        <v>34</v>
      </c>
      <c r="J9" s="1" t="s">
        <v>44</v>
      </c>
      <c r="K9" s="1" t="s">
        <v>45</v>
      </c>
      <c r="L9" s="1" t="s">
        <v>46</v>
      </c>
      <c r="M9" s="1" t="s">
        <v>15</v>
      </c>
    </row>
    <row r="10" spans="1:13" x14ac:dyDescent="0.3">
      <c r="A10" s="1" t="s">
        <v>47</v>
      </c>
      <c r="B10" s="1">
        <v>251</v>
      </c>
      <c r="C10" s="1">
        <v>10</v>
      </c>
      <c r="D10" s="1">
        <v>60</v>
      </c>
      <c r="E10" s="1">
        <v>400</v>
      </c>
      <c r="F10" s="1" t="s">
        <v>219</v>
      </c>
      <c r="G10" s="1" t="s">
        <v>48</v>
      </c>
      <c r="H10" s="1">
        <v>0.06</v>
      </c>
      <c r="I10" s="1" t="s">
        <v>23</v>
      </c>
      <c r="J10" s="1" t="s">
        <v>49</v>
      </c>
      <c r="K10" s="1" t="s">
        <v>25</v>
      </c>
      <c r="L10" s="1" t="s">
        <v>50</v>
      </c>
      <c r="M10" s="1" t="s">
        <v>15</v>
      </c>
    </row>
    <row r="11" spans="1:13" x14ac:dyDescent="0.3">
      <c r="A11" s="1" t="s">
        <v>51</v>
      </c>
      <c r="B11" s="1">
        <v>222</v>
      </c>
      <c r="C11" s="1">
        <v>20</v>
      </c>
      <c r="D11" s="1">
        <v>80</v>
      </c>
      <c r="E11" s="1">
        <v>1000</v>
      </c>
      <c r="F11" s="1" t="s">
        <v>215</v>
      </c>
      <c r="G11" s="1" t="s">
        <v>52</v>
      </c>
      <c r="H11" s="1">
        <v>7.0000000000000007E-2</v>
      </c>
      <c r="I11" s="1" t="s">
        <v>4</v>
      </c>
      <c r="J11" s="1" t="s">
        <v>53</v>
      </c>
      <c r="K11" s="1" t="s">
        <v>40</v>
      </c>
      <c r="L11" s="1" t="s">
        <v>54</v>
      </c>
      <c r="M11" s="1" t="s">
        <v>15</v>
      </c>
    </row>
    <row r="12" spans="1:13" x14ac:dyDescent="0.3">
      <c r="A12" s="1" t="s">
        <v>55</v>
      </c>
      <c r="B12" s="1">
        <v>196</v>
      </c>
      <c r="C12" s="1">
        <v>10</v>
      </c>
      <c r="D12" s="1">
        <v>100</v>
      </c>
      <c r="E12" s="1">
        <v>800</v>
      </c>
      <c r="F12" s="1" t="s">
        <v>215</v>
      </c>
      <c r="G12" s="1" t="s">
        <v>56</v>
      </c>
      <c r="H12" s="1">
        <v>0.12</v>
      </c>
      <c r="I12" s="1" t="s">
        <v>23</v>
      </c>
      <c r="J12" s="1" t="s">
        <v>57</v>
      </c>
      <c r="K12" s="1" t="s">
        <v>30</v>
      </c>
      <c r="L12" s="1" t="s">
        <v>58</v>
      </c>
      <c r="M12" s="1" t="s">
        <v>59</v>
      </c>
    </row>
    <row r="13" spans="1:13" x14ac:dyDescent="0.3">
      <c r="A13" s="1" t="s">
        <v>60</v>
      </c>
      <c r="B13" s="1">
        <v>99</v>
      </c>
      <c r="C13" s="1">
        <v>15</v>
      </c>
      <c r="D13" s="1">
        <v>60</v>
      </c>
      <c r="E13" s="1">
        <v>500</v>
      </c>
      <c r="F13" s="1" t="s">
        <v>220</v>
      </c>
      <c r="G13" s="1" t="s">
        <v>61</v>
      </c>
      <c r="H13" s="1">
        <v>0.06</v>
      </c>
      <c r="I13" s="1" t="s">
        <v>62</v>
      </c>
      <c r="J13" s="1" t="s">
        <v>63</v>
      </c>
      <c r="K13" s="1" t="s">
        <v>40</v>
      </c>
      <c r="L13" s="1" t="s">
        <v>64</v>
      </c>
      <c r="M13" s="1" t="s">
        <v>15</v>
      </c>
    </row>
    <row r="14" spans="1:13" x14ac:dyDescent="0.3">
      <c r="A14" s="1" t="s">
        <v>65</v>
      </c>
      <c r="B14" s="1">
        <v>61</v>
      </c>
      <c r="C14" s="1">
        <v>5</v>
      </c>
      <c r="D14" s="1">
        <v>30</v>
      </c>
      <c r="E14" s="1">
        <v>200</v>
      </c>
      <c r="F14" s="1" t="s">
        <v>217</v>
      </c>
      <c r="G14" s="1" t="s">
        <v>66</v>
      </c>
      <c r="H14" s="1">
        <v>0.1</v>
      </c>
      <c r="I14" s="1" t="s">
        <v>23</v>
      </c>
      <c r="J14" s="1" t="s">
        <v>67</v>
      </c>
      <c r="K14" s="1" t="s">
        <v>40</v>
      </c>
      <c r="L14" s="1" t="s">
        <v>68</v>
      </c>
      <c r="M14" s="1" t="s">
        <v>69</v>
      </c>
    </row>
    <row r="15" spans="1:13" x14ac:dyDescent="0.3">
      <c r="A15" s="1" t="s">
        <v>70</v>
      </c>
      <c r="B15" s="1">
        <v>99</v>
      </c>
      <c r="C15" s="1">
        <v>10</v>
      </c>
      <c r="D15" s="1">
        <v>50</v>
      </c>
      <c r="E15" s="1">
        <v>400</v>
      </c>
      <c r="F15" s="1" t="s">
        <v>219</v>
      </c>
      <c r="G15" s="1" t="s">
        <v>71</v>
      </c>
      <c r="H15" s="1">
        <v>0.18</v>
      </c>
      <c r="I15" s="1" t="s">
        <v>23</v>
      </c>
      <c r="J15" s="1" t="s">
        <v>72</v>
      </c>
      <c r="K15" s="1" t="s">
        <v>73</v>
      </c>
      <c r="L15" s="1" t="s">
        <v>54</v>
      </c>
      <c r="M15" s="1" t="s">
        <v>74</v>
      </c>
    </row>
    <row r="16" spans="1:13" x14ac:dyDescent="0.3">
      <c r="A16" s="1" t="s">
        <v>75</v>
      </c>
      <c r="B16" s="1">
        <v>173</v>
      </c>
      <c r="C16" s="1">
        <v>8</v>
      </c>
      <c r="D16" s="1">
        <v>32</v>
      </c>
      <c r="E16" s="1">
        <v>300</v>
      </c>
      <c r="F16" s="1" t="s">
        <v>221</v>
      </c>
      <c r="G16" s="1" t="s">
        <v>76</v>
      </c>
      <c r="H16" s="1">
        <v>0.14000000000000001</v>
      </c>
      <c r="I16" s="1" t="s">
        <v>23</v>
      </c>
      <c r="J16" s="1" t="s">
        <v>77</v>
      </c>
      <c r="K16" s="1" t="s">
        <v>40</v>
      </c>
      <c r="L16" s="1" t="s">
        <v>58</v>
      </c>
      <c r="M16" s="1" t="s">
        <v>15</v>
      </c>
    </row>
    <row r="17" spans="1:13" x14ac:dyDescent="0.3">
      <c r="A17" s="1" t="s">
        <v>78</v>
      </c>
      <c r="B17" s="1">
        <v>95</v>
      </c>
      <c r="C17" s="1">
        <v>6</v>
      </c>
      <c r="D17" s="1">
        <v>40</v>
      </c>
      <c r="E17" s="1">
        <v>250</v>
      </c>
      <c r="F17" s="1" t="s">
        <v>222</v>
      </c>
      <c r="G17" s="1" t="s">
        <v>79</v>
      </c>
      <c r="H17" s="1">
        <v>0.08</v>
      </c>
      <c r="I17" s="1" t="s">
        <v>34</v>
      </c>
      <c r="J17" s="1" t="s">
        <v>80</v>
      </c>
      <c r="K17" s="1" t="s">
        <v>40</v>
      </c>
      <c r="L17" s="1" t="s">
        <v>36</v>
      </c>
      <c r="M17" s="1" t="s">
        <v>15</v>
      </c>
    </row>
    <row r="18" spans="1:13" x14ac:dyDescent="0.3">
      <c r="A18" s="1" t="s">
        <v>81</v>
      </c>
      <c r="B18" s="1">
        <v>84</v>
      </c>
      <c r="C18" s="1">
        <v>3</v>
      </c>
      <c r="D18" s="1">
        <v>30</v>
      </c>
      <c r="E18" s="1">
        <v>150</v>
      </c>
      <c r="F18" s="1" t="s">
        <v>223</v>
      </c>
      <c r="G18" s="1" t="s">
        <v>82</v>
      </c>
      <c r="H18" s="1">
        <v>0.15</v>
      </c>
      <c r="I18" s="1" t="s">
        <v>23</v>
      </c>
      <c r="J18" s="1" t="s">
        <v>83</v>
      </c>
      <c r="K18" s="1" t="s">
        <v>40</v>
      </c>
      <c r="L18" s="1" t="s">
        <v>84</v>
      </c>
      <c r="M18" s="1" t="s">
        <v>15</v>
      </c>
    </row>
    <row r="19" spans="1:13" x14ac:dyDescent="0.3">
      <c r="A19" s="1" t="s">
        <v>85</v>
      </c>
      <c r="B19" s="1">
        <v>143</v>
      </c>
      <c r="C19" s="1">
        <v>5</v>
      </c>
      <c r="D19" s="1">
        <v>50</v>
      </c>
      <c r="E19" s="1">
        <v>200</v>
      </c>
      <c r="F19" s="1" t="s">
        <v>224</v>
      </c>
      <c r="G19" s="1" t="s">
        <v>86</v>
      </c>
      <c r="H19" s="1">
        <v>7.0000000000000007E-2</v>
      </c>
      <c r="I19" s="1" t="s">
        <v>34</v>
      </c>
      <c r="J19" s="1" t="s">
        <v>87</v>
      </c>
      <c r="K19" s="1" t="s">
        <v>40</v>
      </c>
      <c r="L19" s="1" t="s">
        <v>41</v>
      </c>
      <c r="M19" s="1" t="s">
        <v>15</v>
      </c>
    </row>
    <row r="20" spans="1:13" x14ac:dyDescent="0.3">
      <c r="A20" s="1" t="s">
        <v>88</v>
      </c>
      <c r="B20" s="1">
        <v>144</v>
      </c>
      <c r="C20" s="1">
        <v>4</v>
      </c>
      <c r="D20" s="1">
        <v>40</v>
      </c>
      <c r="E20" s="1">
        <v>120</v>
      </c>
      <c r="F20" s="1" t="s">
        <v>215</v>
      </c>
      <c r="G20" s="1" t="s">
        <v>89</v>
      </c>
      <c r="H20" s="1">
        <v>0.09</v>
      </c>
      <c r="I20" s="1" t="s">
        <v>23</v>
      </c>
      <c r="J20" s="1" t="s">
        <v>90</v>
      </c>
      <c r="K20" s="1" t="s">
        <v>40</v>
      </c>
      <c r="L20" s="1" t="s">
        <v>91</v>
      </c>
      <c r="M20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FDD0-06AC-46A2-9A81-E463521F1523}">
  <dimension ref="A1:D20"/>
  <sheetViews>
    <sheetView workbookViewId="0">
      <selection activeCell="I9" sqref="I9"/>
    </sheetView>
  </sheetViews>
  <sheetFormatPr defaultRowHeight="14.4" x14ac:dyDescent="0.3"/>
  <cols>
    <col min="1" max="1" width="14" bestFit="1" customWidth="1"/>
    <col min="2" max="2" width="12.88671875" bestFit="1" customWidth="1"/>
    <col min="3" max="3" width="17.44140625" bestFit="1" customWidth="1"/>
    <col min="4" max="4" width="11.109375" bestFit="1" customWidth="1"/>
    <col min="5" max="5" width="5.21875" bestFit="1" customWidth="1"/>
  </cols>
  <sheetData>
    <row r="1" spans="1:4" x14ac:dyDescent="0.3">
      <c r="A1" s="2" t="s">
        <v>0</v>
      </c>
      <c r="B1" s="14" t="s">
        <v>98</v>
      </c>
      <c r="C1" s="14"/>
      <c r="D1" s="14"/>
    </row>
    <row r="2" spans="1:4" x14ac:dyDescent="0.3">
      <c r="A2" t="s">
        <v>2</v>
      </c>
      <c r="B2" t="s">
        <v>107</v>
      </c>
      <c r="C2" t="s">
        <v>108</v>
      </c>
      <c r="D2" t="s">
        <v>109</v>
      </c>
    </row>
    <row r="3" spans="1:4" x14ac:dyDescent="0.3">
      <c r="A3" t="s">
        <v>9</v>
      </c>
      <c r="B3" t="s">
        <v>107</v>
      </c>
      <c r="C3" t="s">
        <v>108</v>
      </c>
      <c r="D3" t="s">
        <v>110</v>
      </c>
    </row>
    <row r="4" spans="1:4" x14ac:dyDescent="0.3">
      <c r="A4" t="s">
        <v>16</v>
      </c>
      <c r="B4" t="s">
        <v>107</v>
      </c>
      <c r="C4" t="s">
        <v>111</v>
      </c>
      <c r="D4" t="s">
        <v>112</v>
      </c>
    </row>
    <row r="5" spans="1:4" x14ac:dyDescent="0.3">
      <c r="A5" t="s">
        <v>21</v>
      </c>
      <c r="B5" t="s">
        <v>113</v>
      </c>
      <c r="C5" t="s">
        <v>114</v>
      </c>
      <c r="D5" t="s">
        <v>115</v>
      </c>
    </row>
    <row r="6" spans="1:4" x14ac:dyDescent="0.3">
      <c r="A6" t="s">
        <v>27</v>
      </c>
      <c r="B6" t="s">
        <v>107</v>
      </c>
      <c r="C6" t="s">
        <v>116</v>
      </c>
      <c r="D6" t="s">
        <v>117</v>
      </c>
    </row>
    <row r="7" spans="1:4" x14ac:dyDescent="0.3">
      <c r="A7" t="s">
        <v>32</v>
      </c>
      <c r="B7" t="s">
        <v>107</v>
      </c>
      <c r="C7" t="s">
        <v>118</v>
      </c>
      <c r="D7" t="s">
        <v>119</v>
      </c>
    </row>
    <row r="8" spans="1:4" x14ac:dyDescent="0.3">
      <c r="A8" t="s">
        <v>37</v>
      </c>
      <c r="B8" t="s">
        <v>120</v>
      </c>
      <c r="C8" t="s">
        <v>121</v>
      </c>
      <c r="D8" t="s">
        <v>122</v>
      </c>
    </row>
    <row r="9" spans="1:4" x14ac:dyDescent="0.3">
      <c r="A9" t="s">
        <v>42</v>
      </c>
      <c r="B9" t="s">
        <v>107</v>
      </c>
      <c r="C9" t="s">
        <v>116</v>
      </c>
      <c r="D9" t="s">
        <v>123</v>
      </c>
    </row>
    <row r="10" spans="1:4" x14ac:dyDescent="0.3">
      <c r="A10" t="s">
        <v>47</v>
      </c>
      <c r="B10" t="s">
        <v>124</v>
      </c>
      <c r="C10" t="s">
        <v>125</v>
      </c>
      <c r="D10" t="s">
        <v>126</v>
      </c>
    </row>
    <row r="11" spans="1:4" x14ac:dyDescent="0.3">
      <c r="A11" t="s">
        <v>51</v>
      </c>
      <c r="B11" t="s">
        <v>107</v>
      </c>
      <c r="C11" t="s">
        <v>127</v>
      </c>
      <c r="D11" t="s">
        <v>128</v>
      </c>
    </row>
    <row r="12" spans="1:4" x14ac:dyDescent="0.3">
      <c r="A12" t="s">
        <v>55</v>
      </c>
      <c r="B12" t="s">
        <v>129</v>
      </c>
      <c r="C12" t="s">
        <v>130</v>
      </c>
      <c r="D12" t="s">
        <v>121</v>
      </c>
    </row>
    <row r="13" spans="1:4" x14ac:dyDescent="0.3">
      <c r="A13" t="s">
        <v>60</v>
      </c>
      <c r="B13" t="s">
        <v>107</v>
      </c>
      <c r="C13" t="s">
        <v>108</v>
      </c>
      <c r="D13" t="s">
        <v>131</v>
      </c>
    </row>
    <row r="14" spans="1:4" x14ac:dyDescent="0.3">
      <c r="A14" t="s">
        <v>65</v>
      </c>
      <c r="B14" t="s">
        <v>132</v>
      </c>
      <c r="C14" t="s">
        <v>133</v>
      </c>
      <c r="D14" t="s">
        <v>127</v>
      </c>
    </row>
    <row r="15" spans="1:4" x14ac:dyDescent="0.3">
      <c r="A15" t="s">
        <v>70</v>
      </c>
      <c r="B15" t="s">
        <v>134</v>
      </c>
      <c r="C15" t="s">
        <v>127</v>
      </c>
      <c r="D15" t="s">
        <v>135</v>
      </c>
    </row>
    <row r="16" spans="1:4" x14ac:dyDescent="0.3">
      <c r="A16" t="s">
        <v>75</v>
      </c>
      <c r="B16" t="s">
        <v>136</v>
      </c>
      <c r="C16" t="s">
        <v>121</v>
      </c>
      <c r="D16" t="s">
        <v>137</v>
      </c>
    </row>
    <row r="17" spans="1:4" x14ac:dyDescent="0.3">
      <c r="A17" t="s">
        <v>78</v>
      </c>
      <c r="B17" t="s">
        <v>138</v>
      </c>
      <c r="C17" t="s">
        <v>121</v>
      </c>
      <c r="D17" t="s">
        <v>139</v>
      </c>
    </row>
    <row r="18" spans="1:4" x14ac:dyDescent="0.3">
      <c r="A18" t="s">
        <v>81</v>
      </c>
      <c r="B18" t="s">
        <v>140</v>
      </c>
      <c r="C18" t="s">
        <v>141</v>
      </c>
      <c r="D18" t="s">
        <v>127</v>
      </c>
    </row>
    <row r="19" spans="1:4" x14ac:dyDescent="0.3">
      <c r="A19" t="s">
        <v>85</v>
      </c>
      <c r="B19" t="s">
        <v>142</v>
      </c>
      <c r="C19" t="s">
        <v>121</v>
      </c>
      <c r="D19" t="s">
        <v>143</v>
      </c>
    </row>
    <row r="20" spans="1:4" x14ac:dyDescent="0.3">
      <c r="A20" t="s">
        <v>88</v>
      </c>
      <c r="B20" t="s">
        <v>144</v>
      </c>
      <c r="C20" t="s">
        <v>121</v>
      </c>
      <c r="D20" t="s">
        <v>145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5229-1C98-43BB-9833-B0575E5A0DF6}">
  <dimension ref="A1:K11"/>
  <sheetViews>
    <sheetView topLeftCell="B1" workbookViewId="0">
      <selection activeCell="G2" sqref="G2:G11"/>
    </sheetView>
  </sheetViews>
  <sheetFormatPr defaultRowHeight="14.4" x14ac:dyDescent="0.3"/>
  <cols>
    <col min="1" max="1" width="12.88671875" bestFit="1" customWidth="1"/>
    <col min="2" max="2" width="14.6640625" bestFit="1" customWidth="1"/>
    <col min="3" max="3" width="10.88671875" bestFit="1" customWidth="1"/>
    <col min="4" max="4" width="18.109375" bestFit="1" customWidth="1"/>
    <col min="5" max="5" width="13.5546875" bestFit="1" customWidth="1"/>
    <col min="6" max="6" width="15.88671875" bestFit="1" customWidth="1"/>
    <col min="7" max="7" width="10.6640625" bestFit="1" customWidth="1"/>
    <col min="8" max="8" width="16.5546875" bestFit="1" customWidth="1"/>
    <col min="9" max="9" width="10.88671875" bestFit="1" customWidth="1"/>
    <col min="10" max="10" width="12.44140625" bestFit="1" customWidth="1"/>
    <col min="11" max="11" width="20.44140625" bestFit="1" customWidth="1"/>
  </cols>
  <sheetData>
    <row r="1" spans="1:11" ht="15.6" x14ac:dyDescent="0.3">
      <c r="A1" s="3" t="s">
        <v>146</v>
      </c>
      <c r="B1" s="3" t="s">
        <v>147</v>
      </c>
      <c r="C1" s="3" t="s">
        <v>148</v>
      </c>
      <c r="D1" s="3" t="s">
        <v>149</v>
      </c>
      <c r="E1" s="3" t="s">
        <v>150</v>
      </c>
      <c r="F1" s="3" t="s">
        <v>151</v>
      </c>
      <c r="G1" s="3" t="s">
        <v>0</v>
      </c>
      <c r="H1" s="3" t="s">
        <v>152</v>
      </c>
      <c r="I1" s="3" t="s">
        <v>153</v>
      </c>
      <c r="J1" s="3" t="s">
        <v>154</v>
      </c>
      <c r="K1" s="3" t="s">
        <v>155</v>
      </c>
    </row>
    <row r="2" spans="1:11" x14ac:dyDescent="0.3">
      <c r="A2" s="1" t="s">
        <v>156</v>
      </c>
      <c r="B2" s="1" t="s">
        <v>157</v>
      </c>
      <c r="C2" s="1" t="s">
        <v>158</v>
      </c>
      <c r="D2" s="1" t="s">
        <v>159</v>
      </c>
      <c r="E2" s="1" t="s">
        <v>160</v>
      </c>
      <c r="F2" s="1" t="s">
        <v>161</v>
      </c>
      <c r="G2" s="1" t="s">
        <v>70</v>
      </c>
      <c r="H2" s="1">
        <v>2028</v>
      </c>
      <c r="I2" s="1">
        <v>17.686800000000002</v>
      </c>
      <c r="J2" s="1">
        <v>83.218500000000006</v>
      </c>
      <c r="K2" s="1" t="s">
        <v>162</v>
      </c>
    </row>
    <row r="3" spans="1:11" x14ac:dyDescent="0.3">
      <c r="A3" s="1" t="s">
        <v>156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  <c r="G3" s="1" t="s">
        <v>51</v>
      </c>
      <c r="H3" s="1">
        <v>2027</v>
      </c>
      <c r="I3" s="1">
        <v>35.4437</v>
      </c>
      <c r="J3" s="1">
        <v>139.63800000000001</v>
      </c>
      <c r="K3" s="1" t="s">
        <v>168</v>
      </c>
    </row>
    <row r="4" spans="1:11" x14ac:dyDescent="0.3">
      <c r="A4" s="1" t="s">
        <v>169</v>
      </c>
      <c r="B4" s="1" t="s">
        <v>170</v>
      </c>
      <c r="C4" s="1" t="s">
        <v>171</v>
      </c>
      <c r="D4" s="1" t="s">
        <v>172</v>
      </c>
      <c r="E4" s="1" t="s">
        <v>173</v>
      </c>
      <c r="F4" s="1" t="s">
        <v>174</v>
      </c>
      <c r="G4" s="1" t="s">
        <v>37</v>
      </c>
      <c r="H4" s="1">
        <v>2026</v>
      </c>
      <c r="I4" s="1">
        <v>-33.8688</v>
      </c>
      <c r="J4" s="1">
        <v>151.20930000000001</v>
      </c>
      <c r="K4" s="1" t="s">
        <v>175</v>
      </c>
    </row>
    <row r="5" spans="1:11" x14ac:dyDescent="0.3">
      <c r="A5" s="1" t="s">
        <v>176</v>
      </c>
      <c r="B5" s="1" t="s">
        <v>177</v>
      </c>
      <c r="C5" s="1" t="s">
        <v>178</v>
      </c>
      <c r="D5" s="1" t="s">
        <v>179</v>
      </c>
      <c r="E5" s="1" t="s">
        <v>180</v>
      </c>
      <c r="F5" s="1" t="s">
        <v>177</v>
      </c>
      <c r="G5" s="1" t="s">
        <v>181</v>
      </c>
      <c r="H5" s="1">
        <v>2028</v>
      </c>
      <c r="I5" s="1">
        <v>31.6477</v>
      </c>
      <c r="J5" s="1">
        <v>-97.471699999999998</v>
      </c>
      <c r="K5" s="1" t="s">
        <v>182</v>
      </c>
    </row>
    <row r="6" spans="1:11" x14ac:dyDescent="0.3">
      <c r="A6" s="1" t="s">
        <v>176</v>
      </c>
      <c r="B6" s="1" t="s">
        <v>183</v>
      </c>
      <c r="C6" s="1" t="s">
        <v>184</v>
      </c>
      <c r="D6" s="1" t="s">
        <v>185</v>
      </c>
      <c r="E6" s="1" t="s">
        <v>186</v>
      </c>
      <c r="F6" s="1" t="s">
        <v>177</v>
      </c>
      <c r="G6" s="1" t="s">
        <v>181</v>
      </c>
      <c r="H6" s="1">
        <v>2029</v>
      </c>
      <c r="I6" s="1">
        <v>32.319899999999997</v>
      </c>
      <c r="J6" s="1">
        <v>-106.7637</v>
      </c>
      <c r="K6" s="1" t="s">
        <v>187</v>
      </c>
    </row>
    <row r="7" spans="1:11" x14ac:dyDescent="0.3">
      <c r="A7" s="1" t="s">
        <v>176</v>
      </c>
      <c r="B7" s="1" t="s">
        <v>188</v>
      </c>
      <c r="C7" s="1" t="s">
        <v>189</v>
      </c>
      <c r="D7" s="1" t="s">
        <v>190</v>
      </c>
      <c r="E7" s="1" t="s">
        <v>190</v>
      </c>
      <c r="F7" s="1" t="s">
        <v>188</v>
      </c>
      <c r="G7" s="1" t="s">
        <v>181</v>
      </c>
      <c r="H7" s="1">
        <v>2028</v>
      </c>
      <c r="I7" s="1">
        <v>32.509300000000003</v>
      </c>
      <c r="J7" s="1">
        <v>-92.119299999999996</v>
      </c>
      <c r="K7" s="1" t="s">
        <v>191</v>
      </c>
    </row>
    <row r="8" spans="1:11" x14ac:dyDescent="0.3">
      <c r="A8" s="1" t="s">
        <v>192</v>
      </c>
      <c r="B8" s="1" t="s">
        <v>193</v>
      </c>
      <c r="C8" s="1" t="s">
        <v>194</v>
      </c>
      <c r="D8" s="1" t="s">
        <v>195</v>
      </c>
      <c r="E8" s="1" t="s">
        <v>195</v>
      </c>
      <c r="F8" s="1" t="s">
        <v>196</v>
      </c>
      <c r="G8" s="1" t="s">
        <v>78</v>
      </c>
      <c r="H8" s="1">
        <v>2028</v>
      </c>
      <c r="I8" s="1">
        <v>59.329300000000003</v>
      </c>
      <c r="J8" s="1">
        <v>18.0686</v>
      </c>
      <c r="K8" s="1" t="s">
        <v>197</v>
      </c>
    </row>
    <row r="9" spans="1:11" x14ac:dyDescent="0.3">
      <c r="A9" s="1" t="s">
        <v>192</v>
      </c>
      <c r="B9" s="1" t="s">
        <v>198</v>
      </c>
      <c r="C9" s="1" t="s">
        <v>199</v>
      </c>
      <c r="D9" s="1" t="s">
        <v>200</v>
      </c>
      <c r="E9" s="1" t="s">
        <v>200</v>
      </c>
      <c r="F9" s="1" t="s">
        <v>201</v>
      </c>
      <c r="G9" s="1" t="s">
        <v>93</v>
      </c>
      <c r="H9" s="1">
        <v>2029</v>
      </c>
      <c r="I9" s="1">
        <v>37.956099999999999</v>
      </c>
      <c r="J9" s="1">
        <v>-8.8696999999999999</v>
      </c>
      <c r="K9" s="1" t="s">
        <v>202</v>
      </c>
    </row>
    <row r="10" spans="1:11" x14ac:dyDescent="0.3">
      <c r="A10" s="1" t="s">
        <v>192</v>
      </c>
      <c r="B10" s="1" t="s">
        <v>203</v>
      </c>
      <c r="C10" s="1" t="s">
        <v>204</v>
      </c>
      <c r="D10" s="1" t="s">
        <v>205</v>
      </c>
      <c r="E10" s="1" t="s">
        <v>206</v>
      </c>
      <c r="F10" s="1" t="s">
        <v>207</v>
      </c>
      <c r="G10" s="1" t="s">
        <v>92</v>
      </c>
      <c r="H10" s="1">
        <v>2028</v>
      </c>
      <c r="I10" s="1">
        <v>45.464199999999998</v>
      </c>
      <c r="J10" s="1">
        <v>9.19</v>
      </c>
      <c r="K10" s="1" t="s">
        <v>208</v>
      </c>
    </row>
    <row r="11" spans="1:11" x14ac:dyDescent="0.3">
      <c r="A11" s="1" t="s">
        <v>192</v>
      </c>
      <c r="B11" s="1" t="s">
        <v>209</v>
      </c>
      <c r="C11" s="1" t="s">
        <v>210</v>
      </c>
      <c r="D11" s="1" t="s">
        <v>211</v>
      </c>
      <c r="E11" s="1" t="s">
        <v>211</v>
      </c>
      <c r="F11" s="1" t="s">
        <v>212</v>
      </c>
      <c r="G11" s="1" t="s">
        <v>85</v>
      </c>
      <c r="H11" s="1">
        <v>2029</v>
      </c>
      <c r="I11" s="1">
        <v>42.8125</v>
      </c>
      <c r="J11" s="1">
        <v>-1.6457999999999999</v>
      </c>
      <c r="K11" s="1" t="s">
        <v>213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40DA-ACC4-48C1-820E-54F0DEDBF84B}">
  <dimension ref="A1:C141"/>
  <sheetViews>
    <sheetView workbookViewId="0">
      <selection activeCell="G6" sqref="G6"/>
    </sheetView>
  </sheetViews>
  <sheetFormatPr defaultRowHeight="14.4" x14ac:dyDescent="0.3"/>
  <cols>
    <col min="1" max="1" width="4" bestFit="1" customWidth="1"/>
    <col min="2" max="2" width="21" bestFit="1" customWidth="1"/>
    <col min="3" max="3" width="4" bestFit="1" customWidth="1"/>
  </cols>
  <sheetData>
    <row r="1" spans="1:3" x14ac:dyDescent="0.3">
      <c r="A1" s="4" t="s">
        <v>225</v>
      </c>
      <c r="B1" s="5" t="s">
        <v>226</v>
      </c>
      <c r="C1" s="5" t="s">
        <v>227</v>
      </c>
    </row>
    <row r="2" spans="1:3" x14ac:dyDescent="0.3">
      <c r="A2" s="7">
        <v>1</v>
      </c>
      <c r="B2" s="6" t="s">
        <v>228</v>
      </c>
      <c r="C2" s="7">
        <v>140</v>
      </c>
    </row>
    <row r="3" spans="1:3" x14ac:dyDescent="0.3">
      <c r="A3" s="7">
        <v>2</v>
      </c>
      <c r="B3" s="6" t="s">
        <v>229</v>
      </c>
      <c r="C3" s="7">
        <v>115</v>
      </c>
    </row>
    <row r="4" spans="1:3" x14ac:dyDescent="0.3">
      <c r="A4" s="7">
        <v>3</v>
      </c>
      <c r="B4" s="6" t="s">
        <v>70</v>
      </c>
      <c r="C4" s="7">
        <v>111</v>
      </c>
    </row>
    <row r="5" spans="1:3" x14ac:dyDescent="0.3">
      <c r="A5" s="7">
        <v>4</v>
      </c>
      <c r="B5" s="6" t="s">
        <v>230</v>
      </c>
      <c r="C5" s="7">
        <v>103</v>
      </c>
    </row>
    <row r="6" spans="1:3" x14ac:dyDescent="0.3">
      <c r="A6" s="7">
        <v>5</v>
      </c>
      <c r="B6" s="6" t="s">
        <v>231</v>
      </c>
      <c r="C6" s="7">
        <v>100</v>
      </c>
    </row>
    <row r="7" spans="1:3" x14ac:dyDescent="0.3">
      <c r="A7" s="7">
        <v>6</v>
      </c>
      <c r="B7" s="6" t="s">
        <v>232</v>
      </c>
      <c r="C7" s="7">
        <v>92</v>
      </c>
    </row>
    <row r="8" spans="1:3" x14ac:dyDescent="0.3">
      <c r="A8" s="7">
        <v>7</v>
      </c>
      <c r="B8" s="6" t="s">
        <v>233</v>
      </c>
      <c r="C8" s="7">
        <v>90</v>
      </c>
    </row>
    <row r="9" spans="1:3" x14ac:dyDescent="0.3">
      <c r="A9" s="7">
        <v>8</v>
      </c>
      <c r="B9" s="6" t="s">
        <v>234</v>
      </c>
      <c r="C9" s="7">
        <v>89</v>
      </c>
    </row>
    <row r="10" spans="1:3" x14ac:dyDescent="0.3">
      <c r="A10" s="7">
        <v>9</v>
      </c>
      <c r="B10" s="6" t="s">
        <v>235</v>
      </c>
      <c r="C10" s="7">
        <v>89</v>
      </c>
    </row>
    <row r="11" spans="1:3" x14ac:dyDescent="0.3">
      <c r="A11" s="7">
        <v>10</v>
      </c>
      <c r="B11" s="6" t="s">
        <v>236</v>
      </c>
      <c r="C11" s="7">
        <v>87</v>
      </c>
    </row>
    <row r="12" spans="1:3" x14ac:dyDescent="0.3">
      <c r="A12" s="7">
        <v>11</v>
      </c>
      <c r="B12" s="6" t="s">
        <v>237</v>
      </c>
      <c r="C12" s="7">
        <v>87</v>
      </c>
    </row>
    <row r="13" spans="1:3" x14ac:dyDescent="0.3">
      <c r="A13" s="7">
        <v>12</v>
      </c>
      <c r="B13" s="6" t="s">
        <v>238</v>
      </c>
      <c r="C13" s="7">
        <v>86</v>
      </c>
    </row>
    <row r="14" spans="1:3" x14ac:dyDescent="0.3">
      <c r="A14" s="7">
        <v>13</v>
      </c>
      <c r="B14" s="6" t="s">
        <v>239</v>
      </c>
      <c r="C14" s="7">
        <v>86</v>
      </c>
    </row>
    <row r="15" spans="1:3" x14ac:dyDescent="0.3">
      <c r="A15" s="7">
        <v>14</v>
      </c>
      <c r="B15" s="6" t="s">
        <v>240</v>
      </c>
      <c r="C15" s="7">
        <v>84</v>
      </c>
    </row>
    <row r="16" spans="1:3" x14ac:dyDescent="0.3">
      <c r="A16" s="7">
        <v>15</v>
      </c>
      <c r="B16" s="6" t="s">
        <v>241</v>
      </c>
      <c r="C16" s="7">
        <v>82</v>
      </c>
    </row>
    <row r="17" spans="1:3" x14ac:dyDescent="0.3">
      <c r="A17" s="7">
        <v>16</v>
      </c>
      <c r="B17" s="6" t="s">
        <v>242</v>
      </c>
      <c r="C17" s="7">
        <v>80</v>
      </c>
    </row>
    <row r="18" spans="1:3" x14ac:dyDescent="0.3">
      <c r="A18" s="7">
        <v>17</v>
      </c>
      <c r="B18" s="6" t="s">
        <v>243</v>
      </c>
      <c r="C18" s="7">
        <v>80</v>
      </c>
    </row>
    <row r="19" spans="1:3" x14ac:dyDescent="0.3">
      <c r="A19" s="7">
        <v>18</v>
      </c>
      <c r="B19" s="6" t="s">
        <v>244</v>
      </c>
      <c r="C19" s="7">
        <v>80</v>
      </c>
    </row>
    <row r="20" spans="1:3" x14ac:dyDescent="0.3">
      <c r="A20" s="7">
        <v>19</v>
      </c>
      <c r="B20" s="6" t="s">
        <v>245</v>
      </c>
      <c r="C20" s="7">
        <v>79</v>
      </c>
    </row>
    <row r="21" spans="1:3" x14ac:dyDescent="0.3">
      <c r="A21" s="7">
        <v>20</v>
      </c>
      <c r="B21" s="6" t="s">
        <v>246</v>
      </c>
      <c r="C21" s="7">
        <v>75</v>
      </c>
    </row>
    <row r="22" spans="1:3" x14ac:dyDescent="0.3">
      <c r="A22" s="7">
        <v>21</v>
      </c>
      <c r="B22" s="6" t="s">
        <v>247</v>
      </c>
      <c r="C22" s="7">
        <v>75</v>
      </c>
    </row>
    <row r="23" spans="1:3" x14ac:dyDescent="0.3">
      <c r="A23" s="7">
        <v>22</v>
      </c>
      <c r="B23" s="6" t="s">
        <v>248</v>
      </c>
      <c r="C23" s="7">
        <v>74</v>
      </c>
    </row>
    <row r="24" spans="1:3" x14ac:dyDescent="0.3">
      <c r="A24" s="7">
        <v>23</v>
      </c>
      <c r="B24" s="6" t="s">
        <v>249</v>
      </c>
      <c r="C24" s="7">
        <v>74</v>
      </c>
    </row>
    <row r="25" spans="1:3" x14ac:dyDescent="0.3">
      <c r="A25" s="7">
        <v>24</v>
      </c>
      <c r="B25" s="6" t="s">
        <v>250</v>
      </c>
      <c r="C25" s="7">
        <v>74</v>
      </c>
    </row>
    <row r="26" spans="1:3" x14ac:dyDescent="0.3">
      <c r="A26" s="7">
        <v>25</v>
      </c>
      <c r="B26" s="6" t="s">
        <v>251</v>
      </c>
      <c r="C26" s="7">
        <v>72</v>
      </c>
    </row>
    <row r="27" spans="1:3" x14ac:dyDescent="0.3">
      <c r="A27" s="7">
        <v>26</v>
      </c>
      <c r="B27" s="6" t="s">
        <v>252</v>
      </c>
      <c r="C27" s="7">
        <v>70</v>
      </c>
    </row>
    <row r="28" spans="1:3" x14ac:dyDescent="0.3">
      <c r="A28" s="7">
        <v>27</v>
      </c>
      <c r="B28" s="6" t="s">
        <v>253</v>
      </c>
      <c r="C28" s="7">
        <v>70</v>
      </c>
    </row>
    <row r="29" spans="1:3" x14ac:dyDescent="0.3">
      <c r="A29" s="7">
        <v>28</v>
      </c>
      <c r="B29" s="6" t="s">
        <v>254</v>
      </c>
      <c r="C29" s="7">
        <v>70</v>
      </c>
    </row>
    <row r="30" spans="1:3" x14ac:dyDescent="0.3">
      <c r="A30" s="7">
        <v>29</v>
      </c>
      <c r="B30" s="6" t="s">
        <v>255</v>
      </c>
      <c r="C30" s="7">
        <v>70</v>
      </c>
    </row>
    <row r="31" spans="1:3" x14ac:dyDescent="0.3">
      <c r="A31" s="7">
        <v>30</v>
      </c>
      <c r="B31" s="6" t="s">
        <v>256</v>
      </c>
      <c r="C31" s="7">
        <v>69</v>
      </c>
    </row>
    <row r="32" spans="1:3" x14ac:dyDescent="0.3">
      <c r="A32" s="7">
        <v>31</v>
      </c>
      <c r="B32" s="6" t="s">
        <v>257</v>
      </c>
      <c r="C32" s="7">
        <v>67</v>
      </c>
    </row>
    <row r="33" spans="1:3" x14ac:dyDescent="0.3">
      <c r="A33" s="7">
        <v>32</v>
      </c>
      <c r="B33" s="6" t="s">
        <v>258</v>
      </c>
      <c r="C33" s="7">
        <v>65</v>
      </c>
    </row>
    <row r="34" spans="1:3" x14ac:dyDescent="0.3">
      <c r="A34" s="7">
        <v>33</v>
      </c>
      <c r="B34" s="6" t="s">
        <v>259</v>
      </c>
      <c r="C34" s="7">
        <v>63</v>
      </c>
    </row>
    <row r="35" spans="1:3" x14ac:dyDescent="0.3">
      <c r="A35" s="7">
        <v>34</v>
      </c>
      <c r="B35" s="6" t="s">
        <v>260</v>
      </c>
      <c r="C35" s="7">
        <v>63</v>
      </c>
    </row>
    <row r="36" spans="1:3" x14ac:dyDescent="0.3">
      <c r="A36" s="7">
        <v>35</v>
      </c>
      <c r="B36" s="6" t="s">
        <v>261</v>
      </c>
      <c r="C36" s="7">
        <v>62</v>
      </c>
    </row>
    <row r="37" spans="1:3" x14ac:dyDescent="0.3">
      <c r="A37" s="7">
        <v>36</v>
      </c>
      <c r="B37" s="6" t="s">
        <v>262</v>
      </c>
      <c r="C37" s="7">
        <v>62</v>
      </c>
    </row>
    <row r="38" spans="1:3" x14ac:dyDescent="0.3">
      <c r="A38" s="7">
        <v>37</v>
      </c>
      <c r="B38" s="6" t="s">
        <v>263</v>
      </c>
      <c r="C38" s="7">
        <v>62</v>
      </c>
    </row>
    <row r="39" spans="1:3" x14ac:dyDescent="0.3">
      <c r="A39" s="7">
        <v>38</v>
      </c>
      <c r="B39" s="6" t="s">
        <v>264</v>
      </c>
      <c r="C39" s="7">
        <v>62</v>
      </c>
    </row>
    <row r="40" spans="1:3" x14ac:dyDescent="0.3">
      <c r="A40" s="7">
        <v>39</v>
      </c>
      <c r="B40" s="6" t="s">
        <v>265</v>
      </c>
      <c r="C40" s="7">
        <v>60</v>
      </c>
    </row>
    <row r="41" spans="1:3" x14ac:dyDescent="0.3">
      <c r="A41" s="7">
        <v>40</v>
      </c>
      <c r="B41" s="6" t="s">
        <v>266</v>
      </c>
      <c r="C41" s="7">
        <v>60</v>
      </c>
    </row>
    <row r="42" spans="1:3" x14ac:dyDescent="0.3">
      <c r="A42" s="7">
        <v>41</v>
      </c>
      <c r="B42" s="6" t="s">
        <v>267</v>
      </c>
      <c r="C42" s="7">
        <v>60</v>
      </c>
    </row>
    <row r="43" spans="1:3" x14ac:dyDescent="0.3">
      <c r="A43" s="7">
        <v>42</v>
      </c>
      <c r="B43" s="6" t="s">
        <v>268</v>
      </c>
      <c r="C43" s="7">
        <v>60</v>
      </c>
    </row>
    <row r="44" spans="1:3" x14ac:dyDescent="0.3">
      <c r="A44" s="7">
        <v>43</v>
      </c>
      <c r="B44" s="6" t="s">
        <v>269</v>
      </c>
      <c r="C44" s="7">
        <v>59</v>
      </c>
    </row>
    <row r="45" spans="1:3" x14ac:dyDescent="0.3">
      <c r="A45" s="7">
        <v>44</v>
      </c>
      <c r="B45" s="6" t="s">
        <v>270</v>
      </c>
      <c r="C45" s="7">
        <v>59</v>
      </c>
    </row>
    <row r="46" spans="1:3" x14ac:dyDescent="0.3">
      <c r="A46" s="7">
        <v>45</v>
      </c>
      <c r="B46" s="6" t="s">
        <v>271</v>
      </c>
      <c r="C46" s="7">
        <v>59</v>
      </c>
    </row>
    <row r="47" spans="1:3" x14ac:dyDescent="0.3">
      <c r="A47" s="7">
        <v>46</v>
      </c>
      <c r="B47" s="6" t="s">
        <v>272</v>
      </c>
      <c r="C47" s="7">
        <v>58</v>
      </c>
    </row>
    <row r="48" spans="1:3" x14ac:dyDescent="0.3">
      <c r="A48" s="7">
        <v>47</v>
      </c>
      <c r="B48" s="6" t="s">
        <v>273</v>
      </c>
      <c r="C48" s="7">
        <v>58</v>
      </c>
    </row>
    <row r="49" spans="1:3" x14ac:dyDescent="0.3">
      <c r="A49" s="7">
        <v>48</v>
      </c>
      <c r="B49" s="6" t="s">
        <v>274</v>
      </c>
      <c r="C49" s="7">
        <v>58</v>
      </c>
    </row>
    <row r="50" spans="1:3" x14ac:dyDescent="0.3">
      <c r="A50" s="7">
        <v>49</v>
      </c>
      <c r="B50" s="6" t="s">
        <v>275</v>
      </c>
      <c r="C50" s="7">
        <v>57</v>
      </c>
    </row>
    <row r="51" spans="1:3" x14ac:dyDescent="0.3">
      <c r="A51" s="7">
        <v>50</v>
      </c>
      <c r="B51" s="6" t="s">
        <v>276</v>
      </c>
      <c r="C51" s="7">
        <v>57</v>
      </c>
    </row>
    <row r="52" spans="1:3" x14ac:dyDescent="0.3">
      <c r="A52" s="7">
        <v>51</v>
      </c>
      <c r="B52" s="6" t="s">
        <v>277</v>
      </c>
      <c r="C52" s="7">
        <v>57</v>
      </c>
    </row>
    <row r="53" spans="1:3" x14ac:dyDescent="0.3">
      <c r="A53" s="7">
        <v>52</v>
      </c>
      <c r="B53" s="6" t="s">
        <v>278</v>
      </c>
      <c r="C53" s="7">
        <v>57</v>
      </c>
    </row>
    <row r="54" spans="1:3" x14ac:dyDescent="0.3">
      <c r="A54" s="7">
        <v>53</v>
      </c>
      <c r="B54" s="6" t="s">
        <v>279</v>
      </c>
      <c r="C54" s="7">
        <v>56</v>
      </c>
    </row>
    <row r="55" spans="1:3" x14ac:dyDescent="0.3">
      <c r="A55" s="7">
        <v>54</v>
      </c>
      <c r="B55" s="6" t="s">
        <v>280</v>
      </c>
      <c r="C55" s="7">
        <v>55</v>
      </c>
    </row>
    <row r="56" spans="1:3" x14ac:dyDescent="0.3">
      <c r="A56" s="7">
        <v>55</v>
      </c>
      <c r="B56" s="6" t="s">
        <v>281</v>
      </c>
      <c r="C56" s="7">
        <v>55</v>
      </c>
    </row>
    <row r="57" spans="1:3" x14ac:dyDescent="0.3">
      <c r="A57" s="7">
        <v>56</v>
      </c>
      <c r="B57" s="6" t="s">
        <v>282</v>
      </c>
      <c r="C57" s="7">
        <v>54</v>
      </c>
    </row>
    <row r="58" spans="1:3" x14ac:dyDescent="0.3">
      <c r="A58" s="7">
        <v>57</v>
      </c>
      <c r="B58" s="6" t="s">
        <v>283</v>
      </c>
      <c r="C58" s="7">
        <v>54</v>
      </c>
    </row>
    <row r="59" spans="1:3" x14ac:dyDescent="0.3">
      <c r="A59" s="7">
        <v>58</v>
      </c>
      <c r="B59" s="6" t="s">
        <v>284</v>
      </c>
      <c r="C59" s="7">
        <v>53</v>
      </c>
    </row>
    <row r="60" spans="1:3" x14ac:dyDescent="0.3">
      <c r="A60" s="7">
        <v>59</v>
      </c>
      <c r="B60" s="6" t="s">
        <v>285</v>
      </c>
      <c r="C60" s="7">
        <v>53</v>
      </c>
    </row>
    <row r="61" spans="1:3" x14ac:dyDescent="0.3">
      <c r="A61" s="7">
        <v>60</v>
      </c>
      <c r="B61" s="6" t="s">
        <v>286</v>
      </c>
      <c r="C61" s="7">
        <v>53</v>
      </c>
    </row>
    <row r="62" spans="1:3" x14ac:dyDescent="0.3">
      <c r="A62" s="7">
        <v>61</v>
      </c>
      <c r="B62" s="6" t="s">
        <v>287</v>
      </c>
      <c r="C62" s="7">
        <v>52</v>
      </c>
    </row>
    <row r="63" spans="1:3" x14ac:dyDescent="0.3">
      <c r="A63" s="7">
        <v>62</v>
      </c>
      <c r="B63" s="6" t="s">
        <v>288</v>
      </c>
      <c r="C63" s="7">
        <v>51</v>
      </c>
    </row>
    <row r="64" spans="1:3" x14ac:dyDescent="0.3">
      <c r="A64" s="7">
        <v>63</v>
      </c>
      <c r="B64" s="6" t="s">
        <v>289</v>
      </c>
      <c r="C64" s="7">
        <v>51</v>
      </c>
    </row>
    <row r="65" spans="1:3" x14ac:dyDescent="0.3">
      <c r="A65" s="7">
        <v>64</v>
      </c>
      <c r="B65" s="6" t="s">
        <v>290</v>
      </c>
      <c r="C65" s="7">
        <v>50</v>
      </c>
    </row>
    <row r="66" spans="1:3" x14ac:dyDescent="0.3">
      <c r="A66" s="7">
        <v>65</v>
      </c>
      <c r="B66" s="6" t="s">
        <v>291</v>
      </c>
      <c r="C66" s="7">
        <v>50</v>
      </c>
    </row>
    <row r="67" spans="1:3" x14ac:dyDescent="0.3">
      <c r="A67" s="7">
        <v>66</v>
      </c>
      <c r="B67" s="6" t="s">
        <v>292</v>
      </c>
      <c r="C67" s="7">
        <v>50</v>
      </c>
    </row>
    <row r="68" spans="1:3" x14ac:dyDescent="0.3">
      <c r="A68" s="7">
        <v>67</v>
      </c>
      <c r="B68" s="6" t="s">
        <v>293</v>
      </c>
      <c r="C68" s="7">
        <v>50</v>
      </c>
    </row>
    <row r="69" spans="1:3" x14ac:dyDescent="0.3">
      <c r="A69" s="7">
        <v>68</v>
      </c>
      <c r="B69" s="6" t="s">
        <v>294</v>
      </c>
      <c r="C69" s="7">
        <v>49</v>
      </c>
    </row>
    <row r="70" spans="1:3" x14ac:dyDescent="0.3">
      <c r="A70" s="7">
        <v>69</v>
      </c>
      <c r="B70" s="6" t="s">
        <v>295</v>
      </c>
      <c r="C70" s="7">
        <v>49</v>
      </c>
    </row>
    <row r="71" spans="1:3" x14ac:dyDescent="0.3">
      <c r="A71" s="7">
        <v>70</v>
      </c>
      <c r="B71" s="6" t="s">
        <v>296</v>
      </c>
      <c r="C71" s="7">
        <v>48</v>
      </c>
    </row>
    <row r="72" spans="1:3" x14ac:dyDescent="0.3">
      <c r="A72" s="7">
        <v>71</v>
      </c>
      <c r="B72" s="6" t="s">
        <v>297</v>
      </c>
      <c r="C72" s="7">
        <v>48</v>
      </c>
    </row>
    <row r="73" spans="1:3" x14ac:dyDescent="0.3">
      <c r="A73" s="7">
        <v>72</v>
      </c>
      <c r="B73" s="6" t="s">
        <v>298</v>
      </c>
      <c r="C73" s="7">
        <v>48</v>
      </c>
    </row>
    <row r="74" spans="1:3" x14ac:dyDescent="0.3">
      <c r="A74" s="7">
        <v>73</v>
      </c>
      <c r="B74" s="6" t="s">
        <v>299</v>
      </c>
      <c r="C74" s="7">
        <v>47</v>
      </c>
    </row>
    <row r="75" spans="1:3" x14ac:dyDescent="0.3">
      <c r="A75" s="7">
        <v>74</v>
      </c>
      <c r="B75" s="6" t="s">
        <v>300</v>
      </c>
      <c r="C75" s="7">
        <v>47</v>
      </c>
    </row>
    <row r="76" spans="1:3" x14ac:dyDescent="0.3">
      <c r="A76" s="7">
        <v>75</v>
      </c>
      <c r="B76" s="6" t="s">
        <v>301</v>
      </c>
      <c r="C76" s="7">
        <v>47</v>
      </c>
    </row>
    <row r="77" spans="1:3" x14ac:dyDescent="0.3">
      <c r="A77" s="7">
        <v>76</v>
      </c>
      <c r="B77" s="6" t="s">
        <v>302</v>
      </c>
      <c r="C77" s="7">
        <v>46</v>
      </c>
    </row>
    <row r="78" spans="1:3" x14ac:dyDescent="0.3">
      <c r="A78" s="7">
        <v>77</v>
      </c>
      <c r="B78" s="6" t="s">
        <v>303</v>
      </c>
      <c r="C78" s="7">
        <v>46</v>
      </c>
    </row>
    <row r="79" spans="1:3" x14ac:dyDescent="0.3">
      <c r="A79" s="7">
        <v>78</v>
      </c>
      <c r="B79" s="6" t="s">
        <v>304</v>
      </c>
      <c r="C79" s="7">
        <v>46</v>
      </c>
    </row>
    <row r="80" spans="1:3" x14ac:dyDescent="0.3">
      <c r="A80" s="7">
        <v>79</v>
      </c>
      <c r="B80" s="6" t="s">
        <v>305</v>
      </c>
      <c r="C80" s="7">
        <v>44</v>
      </c>
    </row>
    <row r="81" spans="1:3" x14ac:dyDescent="0.3">
      <c r="A81" s="7">
        <v>80</v>
      </c>
      <c r="B81" s="6" t="s">
        <v>306</v>
      </c>
      <c r="C81" s="7">
        <v>44</v>
      </c>
    </row>
    <row r="82" spans="1:3" x14ac:dyDescent="0.3">
      <c r="A82" s="7">
        <v>81</v>
      </c>
      <c r="B82" s="6" t="s">
        <v>307</v>
      </c>
      <c r="C82" s="7">
        <v>44</v>
      </c>
    </row>
    <row r="83" spans="1:3" x14ac:dyDescent="0.3">
      <c r="A83" s="7">
        <v>82</v>
      </c>
      <c r="B83" s="6" t="s">
        <v>308</v>
      </c>
      <c r="C83" s="7">
        <v>43</v>
      </c>
    </row>
    <row r="84" spans="1:3" x14ac:dyDescent="0.3">
      <c r="A84" s="7">
        <v>83</v>
      </c>
      <c r="B84" s="6" t="s">
        <v>309</v>
      </c>
      <c r="C84" s="7">
        <v>43</v>
      </c>
    </row>
    <row r="85" spans="1:3" x14ac:dyDescent="0.3">
      <c r="A85" s="7">
        <v>84</v>
      </c>
      <c r="B85" s="6" t="s">
        <v>310</v>
      </c>
      <c r="C85" s="7">
        <v>43</v>
      </c>
    </row>
    <row r="86" spans="1:3" x14ac:dyDescent="0.3">
      <c r="A86" s="7">
        <v>85</v>
      </c>
      <c r="B86" s="6" t="s">
        <v>311</v>
      </c>
      <c r="C86" s="7">
        <v>42</v>
      </c>
    </row>
    <row r="87" spans="1:3" x14ac:dyDescent="0.3">
      <c r="A87" s="7">
        <v>86</v>
      </c>
      <c r="B87" s="6" t="s">
        <v>312</v>
      </c>
      <c r="C87" s="7">
        <v>42</v>
      </c>
    </row>
    <row r="88" spans="1:3" x14ac:dyDescent="0.3">
      <c r="A88" s="7">
        <v>87</v>
      </c>
      <c r="B88" s="6" t="s">
        <v>313</v>
      </c>
      <c r="C88" s="7">
        <v>41</v>
      </c>
    </row>
    <row r="89" spans="1:3" x14ac:dyDescent="0.3">
      <c r="A89" s="7">
        <v>88</v>
      </c>
      <c r="B89" s="6" t="s">
        <v>314</v>
      </c>
      <c r="C89" s="7">
        <v>41</v>
      </c>
    </row>
    <row r="90" spans="1:3" x14ac:dyDescent="0.3">
      <c r="A90" s="7">
        <v>89</v>
      </c>
      <c r="B90" s="6" t="s">
        <v>315</v>
      </c>
      <c r="C90" s="7">
        <v>40</v>
      </c>
    </row>
    <row r="91" spans="1:3" x14ac:dyDescent="0.3">
      <c r="A91" s="7">
        <v>90</v>
      </c>
      <c r="B91" s="6" t="s">
        <v>316</v>
      </c>
      <c r="C91" s="7">
        <v>40</v>
      </c>
    </row>
    <row r="92" spans="1:3" x14ac:dyDescent="0.3">
      <c r="A92" s="7">
        <v>91</v>
      </c>
      <c r="B92" s="6" t="s">
        <v>317</v>
      </c>
      <c r="C92" s="7">
        <v>40</v>
      </c>
    </row>
    <row r="93" spans="1:3" x14ac:dyDescent="0.3">
      <c r="A93" s="7">
        <v>92</v>
      </c>
      <c r="B93" s="6" t="s">
        <v>318</v>
      </c>
      <c r="C93" s="7">
        <v>40</v>
      </c>
    </row>
    <row r="94" spans="1:3" x14ac:dyDescent="0.3">
      <c r="A94" s="7">
        <v>93</v>
      </c>
      <c r="B94" s="6" t="s">
        <v>319</v>
      </c>
      <c r="C94" s="7">
        <v>40</v>
      </c>
    </row>
    <row r="95" spans="1:3" x14ac:dyDescent="0.3">
      <c r="A95" s="7">
        <v>94</v>
      </c>
      <c r="B95" s="6" t="s">
        <v>320</v>
      </c>
      <c r="C95" s="7">
        <v>40</v>
      </c>
    </row>
    <row r="96" spans="1:3" x14ac:dyDescent="0.3">
      <c r="A96" s="7">
        <v>95</v>
      </c>
      <c r="B96" s="6" t="s">
        <v>321</v>
      </c>
      <c r="C96" s="7">
        <v>38</v>
      </c>
    </row>
    <row r="97" spans="1:3" x14ac:dyDescent="0.3">
      <c r="A97" s="7">
        <v>96</v>
      </c>
      <c r="B97" s="6" t="s">
        <v>322</v>
      </c>
      <c r="C97" s="7">
        <v>37</v>
      </c>
    </row>
    <row r="98" spans="1:3" x14ac:dyDescent="0.3">
      <c r="A98" s="7">
        <v>97</v>
      </c>
      <c r="B98" s="6" t="s">
        <v>51</v>
      </c>
      <c r="C98" s="7">
        <v>37</v>
      </c>
    </row>
    <row r="99" spans="1:3" x14ac:dyDescent="0.3">
      <c r="A99" s="7">
        <v>98</v>
      </c>
      <c r="B99" s="6" t="s">
        <v>47</v>
      </c>
      <c r="C99" s="7">
        <v>37</v>
      </c>
    </row>
    <row r="100" spans="1:3" x14ac:dyDescent="0.3">
      <c r="A100" s="7">
        <v>99</v>
      </c>
      <c r="B100" s="6" t="s">
        <v>323</v>
      </c>
      <c r="C100" s="7">
        <v>36</v>
      </c>
    </row>
    <row r="101" spans="1:3" x14ac:dyDescent="0.3">
      <c r="A101" s="7">
        <v>100</v>
      </c>
      <c r="B101" s="6" t="s">
        <v>324</v>
      </c>
      <c r="C101" s="7">
        <v>36</v>
      </c>
    </row>
    <row r="102" spans="1:3" x14ac:dyDescent="0.3">
      <c r="A102" s="7">
        <v>101</v>
      </c>
      <c r="B102" s="6" t="s">
        <v>325</v>
      </c>
      <c r="C102" s="7">
        <v>36</v>
      </c>
    </row>
    <row r="103" spans="1:3" x14ac:dyDescent="0.3">
      <c r="A103" s="7">
        <v>102</v>
      </c>
      <c r="B103" s="6" t="s">
        <v>326</v>
      </c>
      <c r="C103" s="7">
        <v>36</v>
      </c>
    </row>
    <row r="104" spans="1:3" x14ac:dyDescent="0.3">
      <c r="A104" s="7">
        <v>103</v>
      </c>
      <c r="B104" s="6" t="s">
        <v>85</v>
      </c>
      <c r="C104" s="7">
        <v>36</v>
      </c>
    </row>
    <row r="105" spans="1:3" x14ac:dyDescent="0.3">
      <c r="A105" s="7">
        <v>104</v>
      </c>
      <c r="B105" s="6" t="s">
        <v>327</v>
      </c>
      <c r="C105" s="7">
        <v>35</v>
      </c>
    </row>
    <row r="106" spans="1:3" x14ac:dyDescent="0.3">
      <c r="A106" s="7">
        <v>105</v>
      </c>
      <c r="B106" s="6" t="s">
        <v>9</v>
      </c>
      <c r="C106" s="7">
        <v>35</v>
      </c>
    </row>
    <row r="107" spans="1:3" x14ac:dyDescent="0.3">
      <c r="A107" s="7">
        <v>106</v>
      </c>
      <c r="B107" s="6" t="s">
        <v>328</v>
      </c>
      <c r="C107" s="7">
        <v>34</v>
      </c>
    </row>
    <row r="108" spans="1:3" x14ac:dyDescent="0.3">
      <c r="A108" s="7">
        <v>107</v>
      </c>
      <c r="B108" s="6" t="s">
        <v>329</v>
      </c>
      <c r="C108" s="7">
        <v>34</v>
      </c>
    </row>
    <row r="109" spans="1:3" x14ac:dyDescent="0.3">
      <c r="A109" s="7">
        <v>108</v>
      </c>
      <c r="B109" s="6" t="s">
        <v>27</v>
      </c>
      <c r="C109" s="7">
        <v>34</v>
      </c>
    </row>
    <row r="110" spans="1:3" x14ac:dyDescent="0.3">
      <c r="A110" s="7">
        <v>109</v>
      </c>
      <c r="B110" s="6" t="s">
        <v>330</v>
      </c>
      <c r="C110" s="7">
        <v>34</v>
      </c>
    </row>
    <row r="111" spans="1:3" x14ac:dyDescent="0.3">
      <c r="A111" s="7">
        <v>110</v>
      </c>
      <c r="B111" s="6" t="s">
        <v>42</v>
      </c>
      <c r="C111" s="7">
        <v>34</v>
      </c>
    </row>
    <row r="112" spans="1:3" x14ac:dyDescent="0.3">
      <c r="A112" s="7">
        <v>111</v>
      </c>
      <c r="B112" s="6" t="s">
        <v>331</v>
      </c>
      <c r="C112" s="7">
        <v>33</v>
      </c>
    </row>
    <row r="113" spans="1:3" x14ac:dyDescent="0.3">
      <c r="A113" s="7">
        <v>112</v>
      </c>
      <c r="B113" s="6" t="s">
        <v>332</v>
      </c>
      <c r="C113" s="7">
        <v>33</v>
      </c>
    </row>
    <row r="114" spans="1:3" x14ac:dyDescent="0.3">
      <c r="A114" s="7">
        <v>113</v>
      </c>
      <c r="B114" s="6" t="s">
        <v>93</v>
      </c>
      <c r="C114" s="7">
        <v>33</v>
      </c>
    </row>
    <row r="115" spans="1:3" x14ac:dyDescent="0.3">
      <c r="A115" s="7">
        <v>114</v>
      </c>
      <c r="B115" s="6" t="s">
        <v>333</v>
      </c>
      <c r="C115" s="7">
        <v>32</v>
      </c>
    </row>
    <row r="116" spans="1:3" x14ac:dyDescent="0.3">
      <c r="A116" s="7">
        <v>115</v>
      </c>
      <c r="B116" s="6" t="s">
        <v>334</v>
      </c>
      <c r="C116" s="7">
        <v>32</v>
      </c>
    </row>
    <row r="117" spans="1:3" x14ac:dyDescent="0.3">
      <c r="A117" s="7">
        <v>116</v>
      </c>
      <c r="B117" s="6" t="s">
        <v>2</v>
      </c>
      <c r="C117" s="7">
        <v>32</v>
      </c>
    </row>
    <row r="118" spans="1:3" x14ac:dyDescent="0.3">
      <c r="A118" s="7">
        <v>117</v>
      </c>
      <c r="B118" s="6" t="s">
        <v>335</v>
      </c>
      <c r="C118" s="7">
        <v>31</v>
      </c>
    </row>
    <row r="119" spans="1:3" x14ac:dyDescent="0.3">
      <c r="A119" s="7">
        <v>118</v>
      </c>
      <c r="B119" s="6" t="s">
        <v>336</v>
      </c>
      <c r="C119" s="7">
        <v>31</v>
      </c>
    </row>
    <row r="120" spans="1:3" x14ac:dyDescent="0.3">
      <c r="A120" s="7">
        <v>119</v>
      </c>
      <c r="B120" s="6" t="s">
        <v>16</v>
      </c>
      <c r="C120" s="7">
        <v>31</v>
      </c>
    </row>
    <row r="121" spans="1:3" x14ac:dyDescent="0.3">
      <c r="A121" s="7">
        <v>120</v>
      </c>
      <c r="B121" s="6" t="s">
        <v>337</v>
      </c>
      <c r="C121" s="7">
        <v>30</v>
      </c>
    </row>
    <row r="122" spans="1:3" x14ac:dyDescent="0.3">
      <c r="A122" s="7">
        <v>121</v>
      </c>
      <c r="B122" s="6" t="s">
        <v>338</v>
      </c>
      <c r="C122" s="7">
        <v>29</v>
      </c>
    </row>
    <row r="123" spans="1:3" x14ac:dyDescent="0.3">
      <c r="A123" s="7">
        <v>122</v>
      </c>
      <c r="B123" s="6" t="s">
        <v>339</v>
      </c>
      <c r="C123" s="7">
        <v>29</v>
      </c>
    </row>
    <row r="124" spans="1:3" x14ac:dyDescent="0.3">
      <c r="A124" s="7">
        <v>123</v>
      </c>
      <c r="B124" s="6" t="s">
        <v>340</v>
      </c>
      <c r="C124" s="7">
        <v>29</v>
      </c>
    </row>
    <row r="125" spans="1:3" x14ac:dyDescent="0.3">
      <c r="A125" s="7">
        <v>124</v>
      </c>
      <c r="B125" s="6" t="s">
        <v>341</v>
      </c>
      <c r="C125" s="7">
        <v>28</v>
      </c>
    </row>
    <row r="126" spans="1:3" x14ac:dyDescent="0.3">
      <c r="A126" s="7">
        <v>125</v>
      </c>
      <c r="B126" s="6" t="s">
        <v>342</v>
      </c>
      <c r="C126" s="7">
        <v>28</v>
      </c>
    </row>
    <row r="127" spans="1:3" x14ac:dyDescent="0.3">
      <c r="A127" s="7">
        <v>126</v>
      </c>
      <c r="B127" s="6" t="s">
        <v>32</v>
      </c>
      <c r="C127" s="7">
        <v>27</v>
      </c>
    </row>
    <row r="128" spans="1:3" x14ac:dyDescent="0.3">
      <c r="A128" s="7">
        <v>127</v>
      </c>
      <c r="B128" s="6" t="s">
        <v>343</v>
      </c>
      <c r="C128" s="7">
        <v>27</v>
      </c>
    </row>
    <row r="129" spans="1:3" x14ac:dyDescent="0.3">
      <c r="A129" s="7">
        <v>128</v>
      </c>
      <c r="B129" s="6" t="s">
        <v>344</v>
      </c>
      <c r="C129" s="7">
        <v>27</v>
      </c>
    </row>
    <row r="130" spans="1:3" x14ac:dyDescent="0.3">
      <c r="A130" s="7">
        <v>129</v>
      </c>
      <c r="B130" s="6" t="s">
        <v>345</v>
      </c>
      <c r="C130" s="7">
        <v>26</v>
      </c>
    </row>
    <row r="131" spans="1:3" x14ac:dyDescent="0.3">
      <c r="A131" s="7">
        <v>130</v>
      </c>
      <c r="B131" s="6" t="s">
        <v>346</v>
      </c>
      <c r="C131" s="7">
        <v>26</v>
      </c>
    </row>
    <row r="132" spans="1:3" x14ac:dyDescent="0.3">
      <c r="A132" s="7">
        <v>131</v>
      </c>
      <c r="B132" s="6" t="s">
        <v>347</v>
      </c>
      <c r="C132" s="7">
        <v>26</v>
      </c>
    </row>
    <row r="133" spans="1:3" x14ac:dyDescent="0.3">
      <c r="A133" s="7">
        <v>132</v>
      </c>
      <c r="B133" s="6" t="s">
        <v>348</v>
      </c>
      <c r="C133" s="7">
        <v>25</v>
      </c>
    </row>
    <row r="134" spans="1:3" x14ac:dyDescent="0.3">
      <c r="A134" s="7">
        <v>133</v>
      </c>
      <c r="B134" s="6" t="s">
        <v>78</v>
      </c>
      <c r="C134" s="7">
        <v>25</v>
      </c>
    </row>
    <row r="135" spans="1:3" x14ac:dyDescent="0.3">
      <c r="A135" s="7">
        <v>134</v>
      </c>
      <c r="B135" s="6" t="s">
        <v>349</v>
      </c>
      <c r="C135" s="7">
        <v>24</v>
      </c>
    </row>
    <row r="136" spans="1:3" x14ac:dyDescent="0.3">
      <c r="A136" s="7">
        <v>135</v>
      </c>
      <c r="B136" s="6" t="s">
        <v>350</v>
      </c>
      <c r="C136" s="7">
        <v>22</v>
      </c>
    </row>
    <row r="137" spans="1:3" x14ac:dyDescent="0.3">
      <c r="A137" s="7">
        <v>136</v>
      </c>
      <c r="B137" s="6" t="s">
        <v>37</v>
      </c>
      <c r="C137" s="7">
        <v>21</v>
      </c>
    </row>
    <row r="138" spans="1:3" x14ac:dyDescent="0.3">
      <c r="A138" s="7">
        <v>137</v>
      </c>
      <c r="B138" s="6" t="s">
        <v>351</v>
      </c>
      <c r="C138" s="7">
        <v>21</v>
      </c>
    </row>
    <row r="139" spans="1:3" x14ac:dyDescent="0.3">
      <c r="A139" s="7">
        <v>138</v>
      </c>
      <c r="B139" s="6" t="s">
        <v>352</v>
      </c>
      <c r="C139" s="7">
        <v>21</v>
      </c>
    </row>
    <row r="140" spans="1:3" x14ac:dyDescent="0.3">
      <c r="A140" s="7">
        <v>139</v>
      </c>
      <c r="B140" s="6" t="s">
        <v>353</v>
      </c>
      <c r="C140" s="7">
        <v>17</v>
      </c>
    </row>
    <row r="141" spans="1:3" x14ac:dyDescent="0.3">
      <c r="A141" s="7">
        <v>140</v>
      </c>
      <c r="B141" s="6" t="s">
        <v>354</v>
      </c>
      <c r="C141" s="7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53C2-5021-4824-AF7E-B0FF7326B910}">
  <dimension ref="A1:D146"/>
  <sheetViews>
    <sheetView workbookViewId="0">
      <selection activeCell="A2" sqref="A2"/>
    </sheetView>
  </sheetViews>
  <sheetFormatPr defaultRowHeight="14.4" x14ac:dyDescent="0.3"/>
  <cols>
    <col min="1" max="1" width="4" bestFit="1" customWidth="1"/>
    <col min="2" max="2" width="15.33203125" bestFit="1" customWidth="1"/>
    <col min="3" max="3" width="10.6640625" bestFit="1" customWidth="1"/>
    <col min="4" max="4" width="4" bestFit="1" customWidth="1"/>
  </cols>
  <sheetData>
    <row r="1" spans="1:4" x14ac:dyDescent="0.3">
      <c r="A1" s="8" t="s">
        <v>225</v>
      </c>
      <c r="B1" s="9" t="s">
        <v>355</v>
      </c>
      <c r="C1" s="10"/>
      <c r="D1" s="9" t="s">
        <v>227</v>
      </c>
    </row>
    <row r="2" spans="1:4" x14ac:dyDescent="0.3">
      <c r="A2" s="7">
        <v>1</v>
      </c>
      <c r="B2" s="1" t="s">
        <v>356</v>
      </c>
      <c r="C2" s="1" t="s">
        <v>357</v>
      </c>
      <c r="D2" s="7">
        <v>169</v>
      </c>
    </row>
    <row r="3" spans="1:4" x14ac:dyDescent="0.3">
      <c r="A3" s="7">
        <v>2</v>
      </c>
      <c r="B3" s="1" t="s">
        <v>358</v>
      </c>
      <c r="C3" s="1" t="s">
        <v>357</v>
      </c>
      <c r="D3" s="7">
        <v>166</v>
      </c>
    </row>
    <row r="4" spans="1:4" x14ac:dyDescent="0.3">
      <c r="A4" s="7">
        <v>3</v>
      </c>
      <c r="B4" s="1" t="s">
        <v>359</v>
      </c>
      <c r="C4" s="1" t="s">
        <v>357</v>
      </c>
      <c r="D4" s="7">
        <v>161</v>
      </c>
    </row>
    <row r="5" spans="1:4" x14ac:dyDescent="0.3">
      <c r="A5" s="7">
        <v>4</v>
      </c>
      <c r="B5" s="1" t="s">
        <v>360</v>
      </c>
      <c r="C5" s="1" t="s">
        <v>357</v>
      </c>
      <c r="D5" s="7">
        <v>159</v>
      </c>
    </row>
    <row r="6" spans="1:4" x14ac:dyDescent="0.3">
      <c r="A6" s="7">
        <v>5</v>
      </c>
      <c r="B6" s="1" t="s">
        <v>361</v>
      </c>
      <c r="C6" s="1" t="s">
        <v>357</v>
      </c>
      <c r="D6" s="7">
        <v>154</v>
      </c>
    </row>
    <row r="7" spans="1:4" x14ac:dyDescent="0.3">
      <c r="A7" s="7">
        <v>6</v>
      </c>
      <c r="B7" s="1" t="s">
        <v>362</v>
      </c>
      <c r="C7" s="1" t="s">
        <v>357</v>
      </c>
      <c r="D7" s="7">
        <v>154</v>
      </c>
    </row>
    <row r="8" spans="1:4" x14ac:dyDescent="0.3">
      <c r="A8" s="7">
        <v>7</v>
      </c>
      <c r="B8" s="1" t="s">
        <v>363</v>
      </c>
      <c r="C8" s="1" t="s">
        <v>357</v>
      </c>
      <c r="D8" s="7">
        <v>153</v>
      </c>
    </row>
    <row r="9" spans="1:4" x14ac:dyDescent="0.3">
      <c r="A9" s="7">
        <v>8</v>
      </c>
      <c r="B9" s="1" t="s">
        <v>364</v>
      </c>
      <c r="C9" s="1" t="s">
        <v>357</v>
      </c>
      <c r="D9" s="7">
        <v>145</v>
      </c>
    </row>
    <row r="10" spans="1:4" x14ac:dyDescent="0.3">
      <c r="A10" s="7">
        <v>9</v>
      </c>
      <c r="B10" s="1" t="s">
        <v>365</v>
      </c>
      <c r="C10" s="1" t="s">
        <v>357</v>
      </c>
      <c r="D10" s="7">
        <v>145</v>
      </c>
    </row>
    <row r="11" spans="1:4" x14ac:dyDescent="0.3">
      <c r="A11" s="7">
        <v>10</v>
      </c>
      <c r="B11" s="1" t="s">
        <v>366</v>
      </c>
      <c r="C11" s="1" t="s">
        <v>357</v>
      </c>
      <c r="D11" s="7">
        <v>144</v>
      </c>
    </row>
    <row r="12" spans="1:4" x14ac:dyDescent="0.3">
      <c r="A12" s="7">
        <v>11</v>
      </c>
      <c r="B12" s="1" t="s">
        <v>367</v>
      </c>
      <c r="C12" s="1" t="s">
        <v>357</v>
      </c>
      <c r="D12" s="7">
        <v>144</v>
      </c>
    </row>
    <row r="13" spans="1:4" x14ac:dyDescent="0.3">
      <c r="A13" s="7">
        <v>12</v>
      </c>
      <c r="B13" s="1" t="s">
        <v>368</v>
      </c>
      <c r="C13" s="1" t="s">
        <v>357</v>
      </c>
      <c r="D13" s="7">
        <v>143</v>
      </c>
    </row>
    <row r="14" spans="1:4" x14ac:dyDescent="0.3">
      <c r="A14" s="7">
        <v>13</v>
      </c>
      <c r="B14" s="1" t="s">
        <v>369</v>
      </c>
      <c r="C14" s="1" t="s">
        <v>370</v>
      </c>
      <c r="D14" s="7">
        <v>140</v>
      </c>
    </row>
    <row r="15" spans="1:4" x14ac:dyDescent="0.3">
      <c r="A15" s="7">
        <v>14</v>
      </c>
      <c r="B15" s="1" t="s">
        <v>371</v>
      </c>
      <c r="C15" s="1" t="s">
        <v>357</v>
      </c>
      <c r="D15" s="7">
        <v>139</v>
      </c>
    </row>
    <row r="16" spans="1:4" x14ac:dyDescent="0.3">
      <c r="A16" s="7">
        <v>15</v>
      </c>
      <c r="B16" s="1" t="s">
        <v>372</v>
      </c>
      <c r="C16" s="1" t="s">
        <v>357</v>
      </c>
      <c r="D16" s="7">
        <v>139</v>
      </c>
    </row>
    <row r="17" spans="1:4" x14ac:dyDescent="0.3">
      <c r="A17" s="7">
        <v>16</v>
      </c>
      <c r="B17" s="1" t="s">
        <v>373</v>
      </c>
      <c r="C17" s="1" t="s">
        <v>357</v>
      </c>
      <c r="D17" s="7">
        <v>136</v>
      </c>
    </row>
    <row r="18" spans="1:4" x14ac:dyDescent="0.3">
      <c r="A18" s="7">
        <v>17</v>
      </c>
      <c r="B18" s="1" t="s">
        <v>374</v>
      </c>
      <c r="C18" s="1" t="s">
        <v>357</v>
      </c>
      <c r="D18" s="7">
        <v>136</v>
      </c>
    </row>
    <row r="19" spans="1:4" x14ac:dyDescent="0.3">
      <c r="A19" s="7">
        <v>18</v>
      </c>
      <c r="B19" s="1" t="s">
        <v>375</v>
      </c>
      <c r="C19" s="1" t="s">
        <v>376</v>
      </c>
      <c r="D19" s="7">
        <v>136</v>
      </c>
    </row>
    <row r="20" spans="1:4" x14ac:dyDescent="0.3">
      <c r="A20" s="7">
        <v>19</v>
      </c>
      <c r="B20" s="1" t="s">
        <v>377</v>
      </c>
      <c r="C20" s="1" t="s">
        <v>357</v>
      </c>
      <c r="D20" s="7">
        <v>135</v>
      </c>
    </row>
    <row r="21" spans="1:4" x14ac:dyDescent="0.3">
      <c r="A21" s="7">
        <v>20</v>
      </c>
      <c r="B21" s="1" t="s">
        <v>378</v>
      </c>
      <c r="C21" s="1" t="s">
        <v>357</v>
      </c>
      <c r="D21" s="7">
        <v>135</v>
      </c>
    </row>
    <row r="22" spans="1:4" x14ac:dyDescent="0.3">
      <c r="A22" s="7">
        <v>21</v>
      </c>
      <c r="B22" s="1" t="s">
        <v>379</v>
      </c>
      <c r="C22" s="1" t="s">
        <v>357</v>
      </c>
      <c r="D22" s="7">
        <v>135</v>
      </c>
    </row>
    <row r="23" spans="1:4" x14ac:dyDescent="0.3">
      <c r="A23" s="7">
        <v>22</v>
      </c>
      <c r="B23" s="1" t="s">
        <v>380</v>
      </c>
      <c r="C23" s="1" t="s">
        <v>357</v>
      </c>
      <c r="D23" s="7">
        <v>135</v>
      </c>
    </row>
    <row r="24" spans="1:4" x14ac:dyDescent="0.3">
      <c r="A24" s="7">
        <v>23</v>
      </c>
      <c r="B24" s="1" t="s">
        <v>381</v>
      </c>
      <c r="C24" s="1" t="s">
        <v>357</v>
      </c>
      <c r="D24" s="7">
        <v>134</v>
      </c>
    </row>
    <row r="25" spans="1:4" x14ac:dyDescent="0.3">
      <c r="A25" s="7">
        <v>24</v>
      </c>
      <c r="B25" s="1" t="s">
        <v>382</v>
      </c>
      <c r="C25" s="1" t="s">
        <v>357</v>
      </c>
      <c r="D25" s="7">
        <v>133</v>
      </c>
    </row>
    <row r="26" spans="1:4" x14ac:dyDescent="0.3">
      <c r="A26" s="7">
        <v>25</v>
      </c>
      <c r="B26" s="1" t="s">
        <v>383</v>
      </c>
      <c r="C26" s="1" t="s">
        <v>357</v>
      </c>
      <c r="D26" s="7">
        <v>133</v>
      </c>
    </row>
    <row r="27" spans="1:4" x14ac:dyDescent="0.3">
      <c r="A27" s="7">
        <v>26</v>
      </c>
      <c r="B27" s="1" t="s">
        <v>384</v>
      </c>
      <c r="C27" s="1" t="s">
        <v>357</v>
      </c>
      <c r="D27" s="7">
        <v>132</v>
      </c>
    </row>
    <row r="28" spans="1:4" x14ac:dyDescent="0.3">
      <c r="A28" s="7">
        <v>27</v>
      </c>
      <c r="B28" s="1" t="s">
        <v>385</v>
      </c>
      <c r="C28" s="1" t="s">
        <v>357</v>
      </c>
      <c r="D28" s="7">
        <v>131</v>
      </c>
    </row>
    <row r="29" spans="1:4" x14ac:dyDescent="0.3">
      <c r="A29" s="7">
        <v>28</v>
      </c>
      <c r="B29" s="1" t="s">
        <v>386</v>
      </c>
      <c r="C29" s="1" t="s">
        <v>357</v>
      </c>
      <c r="D29" s="7">
        <v>131</v>
      </c>
    </row>
    <row r="30" spans="1:4" x14ac:dyDescent="0.3">
      <c r="A30" s="7">
        <v>29</v>
      </c>
      <c r="B30" s="1" t="s">
        <v>387</v>
      </c>
      <c r="C30" s="1" t="s">
        <v>357</v>
      </c>
      <c r="D30" s="7">
        <v>130</v>
      </c>
    </row>
    <row r="31" spans="1:4" x14ac:dyDescent="0.3">
      <c r="A31" s="7">
        <v>30</v>
      </c>
      <c r="B31" s="1" t="s">
        <v>388</v>
      </c>
      <c r="C31" s="1" t="s">
        <v>357</v>
      </c>
      <c r="D31" s="7">
        <v>130</v>
      </c>
    </row>
    <row r="32" spans="1:4" x14ac:dyDescent="0.3">
      <c r="A32" s="7">
        <v>31</v>
      </c>
      <c r="B32" s="1" t="s">
        <v>389</v>
      </c>
      <c r="C32" s="1" t="s">
        <v>357</v>
      </c>
      <c r="D32" s="7">
        <v>130</v>
      </c>
    </row>
    <row r="33" spans="1:4" x14ac:dyDescent="0.3">
      <c r="A33" s="7">
        <v>32</v>
      </c>
      <c r="B33" s="1" t="s">
        <v>390</v>
      </c>
      <c r="C33" s="1" t="s">
        <v>357</v>
      </c>
      <c r="D33" s="7">
        <v>130</v>
      </c>
    </row>
    <row r="34" spans="1:4" x14ac:dyDescent="0.3">
      <c r="A34" s="7">
        <v>33</v>
      </c>
      <c r="B34" s="1" t="s">
        <v>391</v>
      </c>
      <c r="C34" s="1" t="s">
        <v>357</v>
      </c>
      <c r="D34" s="7">
        <v>129</v>
      </c>
    </row>
    <row r="35" spans="1:4" x14ac:dyDescent="0.3">
      <c r="A35" s="7">
        <v>34</v>
      </c>
      <c r="B35" s="1" t="s">
        <v>392</v>
      </c>
      <c r="C35" s="1" t="s">
        <v>357</v>
      </c>
      <c r="D35" s="7">
        <v>129</v>
      </c>
    </row>
    <row r="36" spans="1:4" x14ac:dyDescent="0.3">
      <c r="A36" s="7">
        <v>35</v>
      </c>
      <c r="B36" s="1" t="s">
        <v>393</v>
      </c>
      <c r="C36" s="1" t="s">
        <v>357</v>
      </c>
      <c r="D36" s="7">
        <v>127</v>
      </c>
    </row>
    <row r="37" spans="1:4" x14ac:dyDescent="0.3">
      <c r="A37" s="7">
        <v>36</v>
      </c>
      <c r="B37" s="1" t="s">
        <v>394</v>
      </c>
      <c r="C37" s="1" t="s">
        <v>295</v>
      </c>
      <c r="D37" s="7">
        <v>127</v>
      </c>
    </row>
    <row r="38" spans="1:4" x14ac:dyDescent="0.3">
      <c r="A38" s="7">
        <v>37</v>
      </c>
      <c r="B38" s="1" t="s">
        <v>395</v>
      </c>
      <c r="C38" s="1" t="s">
        <v>357</v>
      </c>
      <c r="D38" s="7">
        <v>126</v>
      </c>
    </row>
    <row r="39" spans="1:4" x14ac:dyDescent="0.3">
      <c r="A39" s="7">
        <v>38</v>
      </c>
      <c r="B39" s="1" t="s">
        <v>396</v>
      </c>
      <c r="C39" s="1" t="s">
        <v>239</v>
      </c>
      <c r="D39" s="7">
        <v>126</v>
      </c>
    </row>
    <row r="40" spans="1:4" x14ac:dyDescent="0.3">
      <c r="A40" s="7">
        <v>39</v>
      </c>
      <c r="B40" s="1" t="s">
        <v>397</v>
      </c>
      <c r="C40" s="1" t="s">
        <v>376</v>
      </c>
      <c r="D40" s="7">
        <v>126</v>
      </c>
    </row>
    <row r="41" spans="1:4" x14ac:dyDescent="0.3">
      <c r="A41" s="7">
        <v>40</v>
      </c>
      <c r="B41" s="1" t="s">
        <v>398</v>
      </c>
      <c r="C41" s="1" t="s">
        <v>357</v>
      </c>
      <c r="D41" s="7">
        <v>126</v>
      </c>
    </row>
    <row r="42" spans="1:4" x14ac:dyDescent="0.3">
      <c r="A42" s="7">
        <v>41</v>
      </c>
      <c r="B42" s="1" t="s">
        <v>399</v>
      </c>
      <c r="C42" s="1" t="s">
        <v>357</v>
      </c>
      <c r="D42" s="7">
        <v>125</v>
      </c>
    </row>
    <row r="43" spans="1:4" x14ac:dyDescent="0.3">
      <c r="A43" s="7">
        <v>42</v>
      </c>
      <c r="B43" s="1" t="s">
        <v>400</v>
      </c>
      <c r="C43" s="1" t="s">
        <v>357</v>
      </c>
      <c r="D43" s="7">
        <v>125</v>
      </c>
    </row>
    <row r="44" spans="1:4" x14ac:dyDescent="0.3">
      <c r="A44" s="7">
        <v>43</v>
      </c>
      <c r="B44" s="1" t="s">
        <v>401</v>
      </c>
      <c r="C44" s="1" t="s">
        <v>357</v>
      </c>
      <c r="D44" s="7">
        <v>125</v>
      </c>
    </row>
    <row r="45" spans="1:4" x14ac:dyDescent="0.3">
      <c r="A45" s="7">
        <v>44</v>
      </c>
      <c r="B45" s="1" t="s">
        <v>402</v>
      </c>
      <c r="C45" s="1" t="s">
        <v>357</v>
      </c>
      <c r="D45" s="7">
        <v>125</v>
      </c>
    </row>
    <row r="46" spans="1:4" x14ac:dyDescent="0.3">
      <c r="A46" s="7">
        <v>45</v>
      </c>
      <c r="B46" s="1" t="s">
        <v>403</v>
      </c>
      <c r="C46" s="1" t="s">
        <v>357</v>
      </c>
      <c r="D46" s="7">
        <v>124</v>
      </c>
    </row>
    <row r="47" spans="1:4" x14ac:dyDescent="0.3">
      <c r="A47" s="7">
        <v>46</v>
      </c>
      <c r="B47" s="1" t="s">
        <v>404</v>
      </c>
      <c r="C47" s="1" t="s">
        <v>357</v>
      </c>
      <c r="D47" s="7">
        <v>124</v>
      </c>
    </row>
    <row r="48" spans="1:4" x14ac:dyDescent="0.3">
      <c r="A48" s="7">
        <v>47</v>
      </c>
      <c r="B48" s="1" t="s">
        <v>405</v>
      </c>
      <c r="C48" s="1" t="s">
        <v>357</v>
      </c>
      <c r="D48" s="7">
        <v>123</v>
      </c>
    </row>
    <row r="49" spans="1:4" x14ac:dyDescent="0.3">
      <c r="A49" s="7">
        <v>48</v>
      </c>
      <c r="B49" s="1" t="s">
        <v>406</v>
      </c>
      <c r="C49" s="1" t="s">
        <v>357</v>
      </c>
      <c r="D49" s="7">
        <v>123</v>
      </c>
    </row>
    <row r="50" spans="1:4" x14ac:dyDescent="0.3">
      <c r="A50" s="7">
        <v>49</v>
      </c>
      <c r="B50" s="1" t="s">
        <v>407</v>
      </c>
      <c r="C50" s="1" t="s">
        <v>357</v>
      </c>
      <c r="D50" s="7">
        <v>123</v>
      </c>
    </row>
    <row r="51" spans="1:4" x14ac:dyDescent="0.3">
      <c r="A51" s="7">
        <v>50</v>
      </c>
      <c r="B51" s="1" t="s">
        <v>408</v>
      </c>
      <c r="C51" s="1" t="s">
        <v>357</v>
      </c>
      <c r="D51" s="7">
        <v>123</v>
      </c>
    </row>
    <row r="52" spans="1:4" x14ac:dyDescent="0.3">
      <c r="A52" s="7">
        <v>51</v>
      </c>
      <c r="B52" s="1" t="s">
        <v>409</v>
      </c>
      <c r="C52" s="1" t="s">
        <v>357</v>
      </c>
      <c r="D52" s="7">
        <v>123</v>
      </c>
    </row>
    <row r="53" spans="1:4" x14ac:dyDescent="0.3">
      <c r="A53" s="7">
        <v>52</v>
      </c>
      <c r="B53" s="1" t="s">
        <v>410</v>
      </c>
      <c r="C53" s="1" t="s">
        <v>357</v>
      </c>
      <c r="D53" s="7">
        <v>123</v>
      </c>
    </row>
    <row r="54" spans="1:4" x14ac:dyDescent="0.3">
      <c r="A54" s="7">
        <v>53</v>
      </c>
      <c r="B54" s="1" t="s">
        <v>411</v>
      </c>
      <c r="C54" s="1" t="s">
        <v>357</v>
      </c>
      <c r="D54" s="7">
        <v>123</v>
      </c>
    </row>
    <row r="55" spans="1:4" x14ac:dyDescent="0.3">
      <c r="A55" s="7">
        <v>54</v>
      </c>
      <c r="B55" s="1" t="s">
        <v>412</v>
      </c>
      <c r="C55" s="1" t="s">
        <v>357</v>
      </c>
      <c r="D55" s="7">
        <v>123</v>
      </c>
    </row>
    <row r="56" spans="1:4" x14ac:dyDescent="0.3">
      <c r="A56" s="7">
        <v>55</v>
      </c>
      <c r="B56" s="1" t="s">
        <v>413</v>
      </c>
      <c r="C56" s="1" t="s">
        <v>357</v>
      </c>
      <c r="D56" s="7">
        <v>123</v>
      </c>
    </row>
    <row r="57" spans="1:4" x14ac:dyDescent="0.3">
      <c r="A57" s="7">
        <v>56</v>
      </c>
      <c r="B57" s="1" t="s">
        <v>414</v>
      </c>
      <c r="C57" s="1" t="s">
        <v>357</v>
      </c>
      <c r="D57" s="7">
        <v>123</v>
      </c>
    </row>
    <row r="58" spans="1:4" x14ac:dyDescent="0.3">
      <c r="A58" s="7">
        <v>57</v>
      </c>
      <c r="B58" s="1" t="s">
        <v>415</v>
      </c>
      <c r="C58" s="1" t="s">
        <v>357</v>
      </c>
      <c r="D58" s="7">
        <v>122</v>
      </c>
    </row>
    <row r="59" spans="1:4" x14ac:dyDescent="0.3">
      <c r="A59" s="7">
        <v>58</v>
      </c>
      <c r="B59" s="1" t="s">
        <v>416</v>
      </c>
      <c r="C59" s="1" t="s">
        <v>357</v>
      </c>
      <c r="D59" s="7">
        <v>122</v>
      </c>
    </row>
    <row r="60" spans="1:4" x14ac:dyDescent="0.3">
      <c r="A60" s="7">
        <v>59</v>
      </c>
      <c r="B60" s="1" t="s">
        <v>417</v>
      </c>
      <c r="C60" s="1" t="s">
        <v>357</v>
      </c>
      <c r="D60" s="7">
        <v>122</v>
      </c>
    </row>
    <row r="61" spans="1:4" x14ac:dyDescent="0.3">
      <c r="A61" s="7">
        <v>60</v>
      </c>
      <c r="B61" s="1" t="s">
        <v>418</v>
      </c>
      <c r="C61" s="1" t="s">
        <v>357</v>
      </c>
      <c r="D61" s="7">
        <v>122</v>
      </c>
    </row>
    <row r="62" spans="1:4" x14ac:dyDescent="0.3">
      <c r="A62" s="7">
        <v>61</v>
      </c>
      <c r="B62" s="1" t="s">
        <v>419</v>
      </c>
      <c r="C62" s="1" t="s">
        <v>357</v>
      </c>
      <c r="D62" s="7">
        <v>121</v>
      </c>
    </row>
    <row r="63" spans="1:4" x14ac:dyDescent="0.3">
      <c r="A63" s="7">
        <v>62</v>
      </c>
      <c r="B63" s="1" t="s">
        <v>420</v>
      </c>
      <c r="C63" s="1" t="s">
        <v>357</v>
      </c>
      <c r="D63" s="7">
        <v>121</v>
      </c>
    </row>
    <row r="64" spans="1:4" x14ac:dyDescent="0.3">
      <c r="A64" s="7">
        <v>63</v>
      </c>
      <c r="B64" s="1" t="s">
        <v>421</v>
      </c>
      <c r="C64" s="1" t="s">
        <v>357</v>
      </c>
      <c r="D64" s="7">
        <v>121</v>
      </c>
    </row>
    <row r="65" spans="1:4" x14ac:dyDescent="0.3">
      <c r="A65" s="7">
        <v>64</v>
      </c>
      <c r="B65" s="1" t="s">
        <v>422</v>
      </c>
      <c r="C65" s="1" t="s">
        <v>357</v>
      </c>
      <c r="D65" s="7">
        <v>121</v>
      </c>
    </row>
    <row r="66" spans="1:4" x14ac:dyDescent="0.3">
      <c r="A66" s="7">
        <v>65</v>
      </c>
      <c r="B66" s="1" t="s">
        <v>423</v>
      </c>
      <c r="C66" s="1" t="s">
        <v>357</v>
      </c>
      <c r="D66" s="7">
        <v>121</v>
      </c>
    </row>
    <row r="67" spans="1:4" x14ac:dyDescent="0.3">
      <c r="A67" s="7">
        <v>66</v>
      </c>
      <c r="B67" s="1" t="s">
        <v>424</v>
      </c>
      <c r="C67" s="1" t="s">
        <v>357</v>
      </c>
      <c r="D67" s="7">
        <v>121</v>
      </c>
    </row>
    <row r="68" spans="1:4" x14ac:dyDescent="0.3">
      <c r="A68" s="7">
        <v>67</v>
      </c>
      <c r="B68" s="1" t="s">
        <v>425</v>
      </c>
      <c r="C68" s="1" t="s">
        <v>357</v>
      </c>
      <c r="D68" s="7">
        <v>121</v>
      </c>
    </row>
    <row r="69" spans="1:4" x14ac:dyDescent="0.3">
      <c r="A69" s="7">
        <v>68</v>
      </c>
      <c r="B69" s="1" t="s">
        <v>426</v>
      </c>
      <c r="C69" s="1" t="s">
        <v>357</v>
      </c>
      <c r="D69" s="7">
        <v>121</v>
      </c>
    </row>
    <row r="70" spans="1:4" x14ac:dyDescent="0.3">
      <c r="A70" s="7">
        <v>69</v>
      </c>
      <c r="B70" s="1" t="s">
        <v>427</v>
      </c>
      <c r="C70" s="1" t="s">
        <v>357</v>
      </c>
      <c r="D70" s="7">
        <v>121</v>
      </c>
    </row>
    <row r="71" spans="1:4" x14ac:dyDescent="0.3">
      <c r="A71" s="7">
        <v>70</v>
      </c>
      <c r="B71" s="1" t="s">
        <v>428</v>
      </c>
      <c r="C71" s="1" t="s">
        <v>357</v>
      </c>
      <c r="D71" s="7">
        <v>121</v>
      </c>
    </row>
    <row r="72" spans="1:4" x14ac:dyDescent="0.3">
      <c r="A72" s="7">
        <v>71</v>
      </c>
      <c r="B72" s="1" t="s">
        <v>429</v>
      </c>
      <c r="C72" s="1" t="s">
        <v>357</v>
      </c>
      <c r="D72" s="7">
        <v>121</v>
      </c>
    </row>
    <row r="73" spans="1:4" x14ac:dyDescent="0.3">
      <c r="A73" s="7">
        <v>72</v>
      </c>
      <c r="B73" s="1" t="s">
        <v>430</v>
      </c>
      <c r="C73" s="1" t="s">
        <v>357</v>
      </c>
      <c r="D73" s="7">
        <v>121</v>
      </c>
    </row>
    <row r="74" spans="1:4" x14ac:dyDescent="0.3">
      <c r="A74" s="7">
        <v>73</v>
      </c>
      <c r="B74" s="1" t="s">
        <v>431</v>
      </c>
      <c r="C74" s="1" t="s">
        <v>357</v>
      </c>
      <c r="D74" s="7">
        <v>121</v>
      </c>
    </row>
    <row r="75" spans="1:4" x14ac:dyDescent="0.3">
      <c r="A75" s="7">
        <v>74</v>
      </c>
      <c r="B75" s="1" t="s">
        <v>432</v>
      </c>
      <c r="C75" s="1" t="s">
        <v>357</v>
      </c>
      <c r="D75" s="7">
        <v>121</v>
      </c>
    </row>
    <row r="76" spans="1:4" x14ac:dyDescent="0.3">
      <c r="A76" s="7">
        <v>75</v>
      </c>
      <c r="B76" s="1" t="s">
        <v>433</v>
      </c>
      <c r="C76" s="1" t="s">
        <v>357</v>
      </c>
      <c r="D76" s="7">
        <v>120</v>
      </c>
    </row>
    <row r="77" spans="1:4" x14ac:dyDescent="0.3">
      <c r="A77" s="7">
        <v>76</v>
      </c>
      <c r="B77" s="1" t="s">
        <v>434</v>
      </c>
      <c r="C77" s="1" t="s">
        <v>357</v>
      </c>
      <c r="D77" s="7">
        <v>120</v>
      </c>
    </row>
    <row r="78" spans="1:4" x14ac:dyDescent="0.3">
      <c r="A78" s="7">
        <v>77</v>
      </c>
      <c r="B78" s="1" t="s">
        <v>435</v>
      </c>
      <c r="C78" s="1" t="s">
        <v>357</v>
      </c>
      <c r="D78" s="7">
        <v>120</v>
      </c>
    </row>
    <row r="79" spans="1:4" x14ac:dyDescent="0.3">
      <c r="A79" s="7">
        <v>78</v>
      </c>
      <c r="B79" s="1" t="s">
        <v>436</v>
      </c>
      <c r="C79" s="1" t="s">
        <v>357</v>
      </c>
      <c r="D79" s="7">
        <v>120</v>
      </c>
    </row>
    <row r="80" spans="1:4" x14ac:dyDescent="0.3">
      <c r="A80" s="7">
        <v>79</v>
      </c>
      <c r="B80" s="1" t="s">
        <v>437</v>
      </c>
      <c r="C80" s="1" t="s">
        <v>357</v>
      </c>
      <c r="D80" s="7">
        <v>120</v>
      </c>
    </row>
    <row r="81" spans="1:4" x14ac:dyDescent="0.3">
      <c r="A81" s="7">
        <v>80</v>
      </c>
      <c r="B81" s="1" t="s">
        <v>438</v>
      </c>
      <c r="C81" s="1" t="s">
        <v>357</v>
      </c>
      <c r="D81" s="7">
        <v>120</v>
      </c>
    </row>
    <row r="82" spans="1:4" x14ac:dyDescent="0.3">
      <c r="A82" s="7">
        <v>81</v>
      </c>
      <c r="B82" s="1" t="s">
        <v>439</v>
      </c>
      <c r="C82" s="1" t="s">
        <v>357</v>
      </c>
      <c r="D82" s="7">
        <v>120</v>
      </c>
    </row>
    <row r="83" spans="1:4" x14ac:dyDescent="0.3">
      <c r="A83" s="7">
        <v>82</v>
      </c>
      <c r="B83" s="1" t="s">
        <v>440</v>
      </c>
      <c r="C83" s="1" t="s">
        <v>357</v>
      </c>
      <c r="D83" s="7">
        <v>120</v>
      </c>
    </row>
    <row r="84" spans="1:4" x14ac:dyDescent="0.3">
      <c r="A84" s="7">
        <v>83</v>
      </c>
      <c r="B84" s="1" t="s">
        <v>441</v>
      </c>
      <c r="C84" s="1" t="s">
        <v>357</v>
      </c>
      <c r="D84" s="7">
        <v>119</v>
      </c>
    </row>
    <row r="85" spans="1:4" x14ac:dyDescent="0.3">
      <c r="A85" s="7">
        <v>84</v>
      </c>
      <c r="B85" s="1" t="s">
        <v>442</v>
      </c>
      <c r="C85" s="1" t="s">
        <v>357</v>
      </c>
      <c r="D85" s="7">
        <v>119</v>
      </c>
    </row>
    <row r="86" spans="1:4" x14ac:dyDescent="0.3">
      <c r="A86" s="7">
        <v>85</v>
      </c>
      <c r="B86" s="1" t="s">
        <v>443</v>
      </c>
      <c r="C86" s="1" t="s">
        <v>357</v>
      </c>
      <c r="D86" s="7">
        <v>119</v>
      </c>
    </row>
    <row r="87" spans="1:4" x14ac:dyDescent="0.3">
      <c r="A87" s="7">
        <v>86</v>
      </c>
      <c r="B87" s="1" t="s">
        <v>444</v>
      </c>
      <c r="C87" s="1" t="s">
        <v>357</v>
      </c>
      <c r="D87" s="7">
        <v>119</v>
      </c>
    </row>
    <row r="88" spans="1:4" x14ac:dyDescent="0.3">
      <c r="A88" s="7">
        <v>87</v>
      </c>
      <c r="B88" s="1" t="s">
        <v>445</v>
      </c>
      <c r="C88" s="1" t="s">
        <v>357</v>
      </c>
      <c r="D88" s="7">
        <v>118</v>
      </c>
    </row>
    <row r="89" spans="1:4" x14ac:dyDescent="0.3">
      <c r="A89" s="7">
        <v>88</v>
      </c>
      <c r="B89" s="1" t="s">
        <v>446</v>
      </c>
      <c r="C89" s="1" t="s">
        <v>357</v>
      </c>
      <c r="D89" s="7">
        <v>118</v>
      </c>
    </row>
    <row r="90" spans="1:4" x14ac:dyDescent="0.3">
      <c r="A90" s="7">
        <v>89</v>
      </c>
      <c r="B90" s="1" t="s">
        <v>447</v>
      </c>
      <c r="C90" s="1" t="s">
        <v>357</v>
      </c>
      <c r="D90" s="7">
        <v>118</v>
      </c>
    </row>
    <row r="91" spans="1:4" x14ac:dyDescent="0.3">
      <c r="A91" s="7">
        <v>90</v>
      </c>
      <c r="B91" s="1" t="s">
        <v>448</v>
      </c>
      <c r="C91" s="1" t="s">
        <v>357</v>
      </c>
      <c r="D91" s="7">
        <v>118</v>
      </c>
    </row>
    <row r="92" spans="1:4" x14ac:dyDescent="0.3">
      <c r="A92" s="7">
        <v>91</v>
      </c>
      <c r="B92" s="1" t="s">
        <v>449</v>
      </c>
      <c r="C92" s="1" t="s">
        <v>357</v>
      </c>
      <c r="D92" s="7">
        <v>118</v>
      </c>
    </row>
    <row r="93" spans="1:4" x14ac:dyDescent="0.3">
      <c r="A93" s="7">
        <v>92</v>
      </c>
      <c r="B93" s="1" t="s">
        <v>450</v>
      </c>
      <c r="C93" s="1" t="s">
        <v>357</v>
      </c>
      <c r="D93" s="7">
        <v>118</v>
      </c>
    </row>
    <row r="94" spans="1:4" x14ac:dyDescent="0.3">
      <c r="A94" s="7">
        <v>93</v>
      </c>
      <c r="B94" s="1" t="s">
        <v>451</v>
      </c>
      <c r="C94" s="1" t="s">
        <v>357</v>
      </c>
      <c r="D94" s="7">
        <v>118</v>
      </c>
    </row>
    <row r="95" spans="1:4" x14ac:dyDescent="0.3">
      <c r="A95" s="7">
        <v>94</v>
      </c>
      <c r="B95" s="1" t="s">
        <v>452</v>
      </c>
      <c r="C95" s="1" t="s">
        <v>357</v>
      </c>
      <c r="D95" s="7">
        <v>118</v>
      </c>
    </row>
    <row r="96" spans="1:4" x14ac:dyDescent="0.3">
      <c r="A96" s="7">
        <v>95</v>
      </c>
      <c r="B96" s="1" t="s">
        <v>453</v>
      </c>
      <c r="C96" s="1" t="s">
        <v>357</v>
      </c>
      <c r="D96" s="7">
        <v>118</v>
      </c>
    </row>
    <row r="97" spans="1:4" x14ac:dyDescent="0.3">
      <c r="A97" s="7">
        <v>96</v>
      </c>
      <c r="B97" s="1" t="s">
        <v>454</v>
      </c>
      <c r="C97" s="1" t="s">
        <v>357</v>
      </c>
      <c r="D97" s="7">
        <v>118</v>
      </c>
    </row>
    <row r="98" spans="1:4" x14ac:dyDescent="0.3">
      <c r="A98" s="7">
        <v>97</v>
      </c>
      <c r="B98" s="1" t="s">
        <v>455</v>
      </c>
      <c r="C98" s="1" t="s">
        <v>357</v>
      </c>
      <c r="D98" s="7">
        <v>117</v>
      </c>
    </row>
    <row r="99" spans="1:4" x14ac:dyDescent="0.3">
      <c r="A99" s="7">
        <v>98</v>
      </c>
      <c r="B99" s="1" t="s">
        <v>456</v>
      </c>
      <c r="C99" s="1" t="s">
        <v>357</v>
      </c>
      <c r="D99" s="7">
        <v>117</v>
      </c>
    </row>
    <row r="100" spans="1:4" x14ac:dyDescent="0.3">
      <c r="A100" s="7">
        <v>99</v>
      </c>
      <c r="B100" s="1" t="s">
        <v>457</v>
      </c>
      <c r="C100" s="1" t="s">
        <v>239</v>
      </c>
      <c r="D100" s="7">
        <v>116</v>
      </c>
    </row>
    <row r="101" spans="1:4" x14ac:dyDescent="0.3">
      <c r="A101" s="7">
        <v>100</v>
      </c>
      <c r="B101" s="1" t="s">
        <v>458</v>
      </c>
      <c r="C101" s="1" t="s">
        <v>357</v>
      </c>
      <c r="D101" s="7">
        <v>116</v>
      </c>
    </row>
    <row r="102" spans="1:4" x14ac:dyDescent="0.3">
      <c r="A102" s="7">
        <v>101</v>
      </c>
      <c r="B102" s="1" t="s">
        <v>459</v>
      </c>
      <c r="C102" s="1" t="s">
        <v>357</v>
      </c>
      <c r="D102" s="7">
        <v>116</v>
      </c>
    </row>
    <row r="103" spans="1:4" x14ac:dyDescent="0.3">
      <c r="A103" s="7">
        <v>102</v>
      </c>
      <c r="B103" s="1" t="s">
        <v>460</v>
      </c>
      <c r="C103" s="1" t="s">
        <v>357</v>
      </c>
      <c r="D103" s="7">
        <v>116</v>
      </c>
    </row>
    <row r="104" spans="1:4" x14ac:dyDescent="0.3">
      <c r="A104" s="7">
        <v>103</v>
      </c>
      <c r="B104" s="1" t="s">
        <v>461</v>
      </c>
      <c r="C104" s="1" t="s">
        <v>357</v>
      </c>
      <c r="D104" s="7">
        <v>116</v>
      </c>
    </row>
    <row r="105" spans="1:4" x14ac:dyDescent="0.3">
      <c r="A105" s="7">
        <v>104</v>
      </c>
      <c r="B105" s="1" t="s">
        <v>462</v>
      </c>
      <c r="C105" s="1" t="s">
        <v>357</v>
      </c>
      <c r="D105" s="7">
        <v>116</v>
      </c>
    </row>
    <row r="106" spans="1:4" x14ac:dyDescent="0.3">
      <c r="A106" s="7">
        <v>105</v>
      </c>
      <c r="B106" s="1" t="s">
        <v>463</v>
      </c>
      <c r="C106" s="1" t="s">
        <v>239</v>
      </c>
      <c r="D106" s="7">
        <v>116</v>
      </c>
    </row>
    <row r="107" spans="1:4" x14ac:dyDescent="0.3">
      <c r="A107" s="7">
        <v>106</v>
      </c>
      <c r="B107" s="1" t="s">
        <v>464</v>
      </c>
      <c r="C107" s="1" t="s">
        <v>357</v>
      </c>
      <c r="D107" s="7">
        <v>116</v>
      </c>
    </row>
    <row r="108" spans="1:4" x14ac:dyDescent="0.3">
      <c r="A108" s="7">
        <v>107</v>
      </c>
      <c r="B108" s="1" t="s">
        <v>465</v>
      </c>
      <c r="C108" s="1" t="s">
        <v>357</v>
      </c>
      <c r="D108" s="7">
        <v>116</v>
      </c>
    </row>
    <row r="109" spans="1:4" x14ac:dyDescent="0.3">
      <c r="A109" s="7">
        <v>108</v>
      </c>
      <c r="B109" s="1" t="s">
        <v>466</v>
      </c>
      <c r="C109" s="1" t="s">
        <v>357</v>
      </c>
      <c r="D109" s="7">
        <v>115</v>
      </c>
    </row>
    <row r="110" spans="1:4" x14ac:dyDescent="0.3">
      <c r="A110" s="7">
        <v>109</v>
      </c>
      <c r="B110" s="1" t="s">
        <v>467</v>
      </c>
      <c r="C110" s="1" t="s">
        <v>236</v>
      </c>
      <c r="D110" s="7">
        <v>115</v>
      </c>
    </row>
    <row r="111" spans="1:4" x14ac:dyDescent="0.3">
      <c r="A111" s="7">
        <v>110</v>
      </c>
      <c r="B111" s="1" t="s">
        <v>468</v>
      </c>
      <c r="C111" s="1" t="s">
        <v>357</v>
      </c>
      <c r="D111" s="7">
        <v>115</v>
      </c>
    </row>
    <row r="112" spans="1:4" x14ac:dyDescent="0.3">
      <c r="A112" s="7">
        <v>111</v>
      </c>
      <c r="B112" s="1" t="s">
        <v>469</v>
      </c>
      <c r="C112" s="1" t="s">
        <v>239</v>
      </c>
      <c r="D112" s="7">
        <v>115</v>
      </c>
    </row>
    <row r="113" spans="1:4" x14ac:dyDescent="0.3">
      <c r="A113" s="7">
        <v>112</v>
      </c>
      <c r="B113" s="1" t="s">
        <v>470</v>
      </c>
      <c r="C113" s="1" t="s">
        <v>357</v>
      </c>
      <c r="D113" s="7">
        <v>115</v>
      </c>
    </row>
    <row r="114" spans="1:4" x14ac:dyDescent="0.3">
      <c r="A114" s="7">
        <v>113</v>
      </c>
      <c r="B114" s="1" t="s">
        <v>471</v>
      </c>
      <c r="C114" s="1" t="s">
        <v>239</v>
      </c>
      <c r="D114" s="7">
        <v>115</v>
      </c>
    </row>
    <row r="115" spans="1:4" x14ac:dyDescent="0.3">
      <c r="A115" s="7">
        <v>114</v>
      </c>
      <c r="B115" s="1" t="s">
        <v>472</v>
      </c>
      <c r="C115" s="1" t="s">
        <v>357</v>
      </c>
      <c r="D115" s="7">
        <v>115</v>
      </c>
    </row>
    <row r="116" spans="1:4" x14ac:dyDescent="0.3">
      <c r="A116" s="7">
        <v>115</v>
      </c>
      <c r="B116" s="1" t="s">
        <v>473</v>
      </c>
      <c r="C116" s="1" t="s">
        <v>239</v>
      </c>
      <c r="D116" s="7">
        <v>115</v>
      </c>
    </row>
    <row r="117" spans="1:4" x14ac:dyDescent="0.3">
      <c r="A117" s="7">
        <v>116</v>
      </c>
      <c r="B117" s="1" t="s">
        <v>474</v>
      </c>
      <c r="C117" s="1" t="s">
        <v>357</v>
      </c>
      <c r="D117" s="7">
        <v>114</v>
      </c>
    </row>
    <row r="118" spans="1:4" x14ac:dyDescent="0.3">
      <c r="A118" s="7">
        <v>117</v>
      </c>
      <c r="B118" s="1" t="s">
        <v>475</v>
      </c>
      <c r="C118" s="1" t="s">
        <v>376</v>
      </c>
      <c r="D118" s="7">
        <v>114</v>
      </c>
    </row>
    <row r="119" spans="1:4" x14ac:dyDescent="0.3">
      <c r="A119" s="7">
        <v>118</v>
      </c>
      <c r="B119" s="1" t="s">
        <v>476</v>
      </c>
      <c r="C119" s="1" t="s">
        <v>357</v>
      </c>
      <c r="D119" s="7">
        <v>114</v>
      </c>
    </row>
    <row r="120" spans="1:4" x14ac:dyDescent="0.3">
      <c r="A120" s="7">
        <v>119</v>
      </c>
      <c r="B120" s="1" t="s">
        <v>477</v>
      </c>
      <c r="C120" s="1" t="s">
        <v>357</v>
      </c>
      <c r="D120" s="7">
        <v>114</v>
      </c>
    </row>
    <row r="121" spans="1:4" x14ac:dyDescent="0.3">
      <c r="A121" s="7">
        <v>120</v>
      </c>
      <c r="B121" s="1" t="s">
        <v>478</v>
      </c>
      <c r="C121" s="1" t="s">
        <v>357</v>
      </c>
      <c r="D121" s="7">
        <v>114</v>
      </c>
    </row>
    <row r="122" spans="1:4" x14ac:dyDescent="0.3">
      <c r="A122" s="7">
        <v>121</v>
      </c>
      <c r="B122" s="1" t="s">
        <v>479</v>
      </c>
      <c r="C122" s="1" t="s">
        <v>357</v>
      </c>
      <c r="D122" s="7">
        <v>114</v>
      </c>
    </row>
    <row r="123" spans="1:4" x14ac:dyDescent="0.3">
      <c r="A123" s="7">
        <v>122</v>
      </c>
      <c r="B123" s="1" t="s">
        <v>480</v>
      </c>
      <c r="C123" s="1" t="s">
        <v>357</v>
      </c>
      <c r="D123" s="7">
        <v>114</v>
      </c>
    </row>
    <row r="124" spans="1:4" x14ac:dyDescent="0.3">
      <c r="A124" s="7">
        <v>123</v>
      </c>
      <c r="B124" s="1" t="s">
        <v>481</v>
      </c>
      <c r="C124" s="1" t="s">
        <v>357</v>
      </c>
      <c r="D124" s="7">
        <v>114</v>
      </c>
    </row>
    <row r="125" spans="1:4" x14ac:dyDescent="0.3">
      <c r="A125" s="7">
        <v>124</v>
      </c>
      <c r="B125" s="1" t="s">
        <v>482</v>
      </c>
      <c r="C125" s="1" t="s">
        <v>357</v>
      </c>
      <c r="D125" s="7">
        <v>114</v>
      </c>
    </row>
    <row r="126" spans="1:4" x14ac:dyDescent="0.3">
      <c r="A126" s="7">
        <v>125</v>
      </c>
      <c r="B126" s="1" t="s">
        <v>483</v>
      </c>
      <c r="C126" s="1" t="s">
        <v>357</v>
      </c>
      <c r="D126" s="7">
        <v>113</v>
      </c>
    </row>
    <row r="127" spans="1:4" x14ac:dyDescent="0.3">
      <c r="A127" s="7">
        <v>126</v>
      </c>
      <c r="B127" s="1" t="s">
        <v>484</v>
      </c>
      <c r="C127" s="1" t="s">
        <v>357</v>
      </c>
      <c r="D127" s="7">
        <v>113</v>
      </c>
    </row>
    <row r="128" spans="1:4" x14ac:dyDescent="0.3">
      <c r="A128" s="7">
        <v>127</v>
      </c>
      <c r="B128" s="1" t="s">
        <v>485</v>
      </c>
      <c r="C128" s="1" t="s">
        <v>239</v>
      </c>
      <c r="D128" s="7">
        <v>113</v>
      </c>
    </row>
    <row r="129" spans="1:4" x14ac:dyDescent="0.3">
      <c r="A129" s="7">
        <v>128</v>
      </c>
      <c r="B129" s="1" t="s">
        <v>486</v>
      </c>
      <c r="C129" s="1" t="s">
        <v>357</v>
      </c>
      <c r="D129" s="7">
        <v>113</v>
      </c>
    </row>
    <row r="130" spans="1:4" x14ac:dyDescent="0.3">
      <c r="A130" s="7">
        <v>129</v>
      </c>
      <c r="B130" s="1" t="s">
        <v>487</v>
      </c>
      <c r="C130" s="1" t="s">
        <v>239</v>
      </c>
      <c r="D130" s="7">
        <v>113</v>
      </c>
    </row>
    <row r="131" spans="1:4" x14ac:dyDescent="0.3">
      <c r="A131" s="7">
        <v>130</v>
      </c>
      <c r="B131" s="1" t="s">
        <v>488</v>
      </c>
      <c r="C131" s="1" t="s">
        <v>357</v>
      </c>
      <c r="D131" s="7">
        <v>112</v>
      </c>
    </row>
    <row r="132" spans="1:4" x14ac:dyDescent="0.3">
      <c r="A132" s="7">
        <v>131</v>
      </c>
      <c r="B132" s="1" t="s">
        <v>489</v>
      </c>
      <c r="C132" s="1" t="s">
        <v>357</v>
      </c>
      <c r="D132" s="7">
        <v>112</v>
      </c>
    </row>
    <row r="133" spans="1:4" x14ac:dyDescent="0.3">
      <c r="A133" s="7">
        <v>132</v>
      </c>
      <c r="B133" s="1" t="s">
        <v>490</v>
      </c>
      <c r="C133" s="1" t="s">
        <v>491</v>
      </c>
      <c r="D133" s="7">
        <v>112</v>
      </c>
    </row>
    <row r="134" spans="1:4" x14ac:dyDescent="0.3">
      <c r="A134" s="7">
        <v>133</v>
      </c>
      <c r="B134" s="1" t="s">
        <v>492</v>
      </c>
      <c r="C134" s="1" t="s">
        <v>239</v>
      </c>
      <c r="D134" s="7">
        <v>112</v>
      </c>
    </row>
    <row r="135" spans="1:4" x14ac:dyDescent="0.3">
      <c r="A135" s="7">
        <v>134</v>
      </c>
      <c r="B135" s="1" t="s">
        <v>493</v>
      </c>
      <c r="C135" s="1" t="s">
        <v>239</v>
      </c>
      <c r="D135" s="7">
        <v>112</v>
      </c>
    </row>
    <row r="136" spans="1:4" x14ac:dyDescent="0.3">
      <c r="A136" s="7">
        <v>135</v>
      </c>
      <c r="B136" s="1" t="s">
        <v>494</v>
      </c>
      <c r="C136" s="1" t="s">
        <v>357</v>
      </c>
      <c r="D136" s="7">
        <v>112</v>
      </c>
    </row>
    <row r="137" spans="1:4" x14ac:dyDescent="0.3">
      <c r="A137" s="7">
        <v>136</v>
      </c>
      <c r="B137" s="1" t="s">
        <v>495</v>
      </c>
      <c r="C137" s="1" t="s">
        <v>357</v>
      </c>
      <c r="D137" s="7">
        <v>112</v>
      </c>
    </row>
    <row r="138" spans="1:4" x14ac:dyDescent="0.3">
      <c r="A138" s="7">
        <v>137</v>
      </c>
      <c r="B138" s="1" t="s">
        <v>496</v>
      </c>
      <c r="C138" s="1" t="s">
        <v>357</v>
      </c>
      <c r="D138" s="7">
        <v>111</v>
      </c>
    </row>
    <row r="139" spans="1:4" x14ac:dyDescent="0.3">
      <c r="A139" s="7">
        <v>138</v>
      </c>
      <c r="B139" s="1" t="s">
        <v>497</v>
      </c>
      <c r="C139" s="1" t="s">
        <v>357</v>
      </c>
      <c r="D139" s="7">
        <v>111</v>
      </c>
    </row>
    <row r="140" spans="1:4" x14ac:dyDescent="0.3">
      <c r="A140" s="7">
        <v>139</v>
      </c>
      <c r="B140" s="1" t="s">
        <v>498</v>
      </c>
      <c r="C140" s="1" t="s">
        <v>357</v>
      </c>
      <c r="D140" s="7">
        <v>111</v>
      </c>
    </row>
    <row r="141" spans="1:4" x14ac:dyDescent="0.3">
      <c r="A141" s="7">
        <v>140</v>
      </c>
      <c r="B141" s="1" t="s">
        <v>499</v>
      </c>
      <c r="C141" s="1" t="s">
        <v>357</v>
      </c>
      <c r="D141" s="7">
        <v>111</v>
      </c>
    </row>
    <row r="142" spans="1:4" x14ac:dyDescent="0.3">
      <c r="A142" s="7">
        <v>141</v>
      </c>
      <c r="B142" s="1" t="s">
        <v>500</v>
      </c>
      <c r="C142" s="1" t="s">
        <v>357</v>
      </c>
      <c r="D142" s="7">
        <v>111</v>
      </c>
    </row>
    <row r="143" spans="1:4" x14ac:dyDescent="0.3">
      <c r="A143" s="7">
        <v>142</v>
      </c>
      <c r="B143" s="1" t="s">
        <v>501</v>
      </c>
      <c r="C143" s="1" t="s">
        <v>357</v>
      </c>
      <c r="D143" s="7">
        <v>111</v>
      </c>
    </row>
    <row r="144" spans="1:4" x14ac:dyDescent="0.3">
      <c r="A144" s="7">
        <v>143</v>
      </c>
      <c r="B144" s="1" t="s">
        <v>502</v>
      </c>
      <c r="C144" s="1" t="s">
        <v>491</v>
      </c>
      <c r="D144" s="7">
        <v>111</v>
      </c>
    </row>
    <row r="145" spans="1:4" x14ac:dyDescent="0.3">
      <c r="A145" s="7">
        <v>144</v>
      </c>
      <c r="B145" s="1" t="s">
        <v>503</v>
      </c>
      <c r="C145" s="1" t="s">
        <v>239</v>
      </c>
      <c r="D145" s="7">
        <v>111</v>
      </c>
    </row>
    <row r="146" spans="1:4" x14ac:dyDescent="0.3">
      <c r="A146" s="7">
        <v>145</v>
      </c>
      <c r="B146" s="1" t="s">
        <v>504</v>
      </c>
      <c r="C146" s="1" t="s">
        <v>239</v>
      </c>
      <c r="D146" s="7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80E7-6A08-4688-ADE0-D7BFADC2BEEB}">
  <dimension ref="A1:I211"/>
  <sheetViews>
    <sheetView workbookViewId="0">
      <selection activeCell="F3" sqref="F3"/>
    </sheetView>
  </sheetViews>
  <sheetFormatPr defaultRowHeight="14.4" x14ac:dyDescent="0.3"/>
  <cols>
    <col min="1" max="1" width="28.109375" bestFit="1" customWidth="1"/>
    <col min="2" max="2" width="16.21875" bestFit="1" customWidth="1"/>
    <col min="3" max="3" width="36.21875" bestFit="1" customWidth="1"/>
    <col min="7" max="7" width="11.88671875" bestFit="1" customWidth="1"/>
    <col min="8" max="8" width="14.5546875" bestFit="1" customWidth="1"/>
    <col min="9" max="9" width="33.21875" bestFit="1" customWidth="1"/>
    <col min="10" max="10" width="11.88671875" bestFit="1" customWidth="1"/>
    <col min="11" max="11" width="14.5546875" bestFit="1" customWidth="1"/>
    <col min="12" max="12" width="33.21875" bestFit="1" customWidth="1"/>
  </cols>
  <sheetData>
    <row r="1" spans="1:9" ht="15.6" x14ac:dyDescent="0.3">
      <c r="A1" s="13" t="s">
        <v>0</v>
      </c>
      <c r="B1" s="13" t="s">
        <v>505</v>
      </c>
      <c r="C1" s="13" t="s">
        <v>506</v>
      </c>
      <c r="G1" s="11" t="s">
        <v>226</v>
      </c>
      <c r="H1" s="12" t="s">
        <v>505</v>
      </c>
      <c r="I1" s="12" t="s">
        <v>507</v>
      </c>
    </row>
    <row r="2" spans="1:9" x14ac:dyDescent="0.3">
      <c r="A2" t="s">
        <v>509</v>
      </c>
      <c r="B2">
        <v>1.63</v>
      </c>
      <c r="C2">
        <v>99.5</v>
      </c>
      <c r="G2" t="s">
        <v>37</v>
      </c>
      <c r="H2">
        <f>_xlfn.XLOOKUP(G2,'[1]Politcal Stablity'!$A$2:$A$208,'[1]Politcal Stablity'!$B$2:$B$208)</f>
        <v>0.92</v>
      </c>
      <c r="I2">
        <f>_xlfn.XLOOKUP(G2,'[1]Politcal Stablity'!$A$2:$A$208,'[1]Politcal Stablity'!$C$2:$C$208)</f>
        <v>79.599999999999994</v>
      </c>
    </row>
    <row r="3" spans="1:9" x14ac:dyDescent="0.3">
      <c r="A3" t="s">
        <v>348</v>
      </c>
      <c r="B3">
        <v>1.61</v>
      </c>
      <c r="C3">
        <v>99.1</v>
      </c>
      <c r="G3" t="s">
        <v>78</v>
      </c>
      <c r="H3">
        <f>_xlfn.XLOOKUP(G3,'[1]Politcal Stablity'!$A$2:$A$208,'[1]Politcal Stablity'!$B$2:$B$208)</f>
        <v>0.76</v>
      </c>
      <c r="I3">
        <f>_xlfn.XLOOKUP(G3,'[1]Politcal Stablity'!$A$2:$A$208,'[1]Politcal Stablity'!$C$2:$C$208)</f>
        <v>73.5</v>
      </c>
    </row>
    <row r="4" spans="1:9" x14ac:dyDescent="0.3">
      <c r="A4" t="s">
        <v>333</v>
      </c>
      <c r="B4">
        <v>1.58</v>
      </c>
      <c r="C4">
        <v>98.6</v>
      </c>
      <c r="G4" t="s">
        <v>2</v>
      </c>
      <c r="H4">
        <f>_xlfn.XLOOKUP(G4,'[1]Politcal Stablity'!$A$2:$A$208,'[1]Politcal Stablity'!$B$2:$B$208)</f>
        <v>0.03</v>
      </c>
      <c r="I4">
        <f>_xlfn.XLOOKUP(G4,'[1]Politcal Stablity'!$A$2:$A$208,'[1]Politcal Stablity'!$C$2:$C$208)</f>
        <v>47.4</v>
      </c>
    </row>
    <row r="5" spans="1:9" x14ac:dyDescent="0.3">
      <c r="A5" t="s">
        <v>354</v>
      </c>
      <c r="B5">
        <v>1.5</v>
      </c>
      <c r="C5">
        <v>98.1</v>
      </c>
      <c r="G5" t="s">
        <v>93</v>
      </c>
      <c r="H5">
        <f>_xlfn.XLOOKUP(G5,'[1]Politcal Stablity'!$A$2:$A$208,'[1]Politcal Stablity'!$B$2:$B$208)</f>
        <v>0.71</v>
      </c>
      <c r="I5">
        <f>_xlfn.XLOOKUP(G5,'[1]Politcal Stablity'!$A$2:$A$208,'[1]Politcal Stablity'!$C$2:$C$208)</f>
        <v>70.599999999999994</v>
      </c>
    </row>
    <row r="6" spans="1:9" x14ac:dyDescent="0.3">
      <c r="A6" t="s">
        <v>510</v>
      </c>
      <c r="B6">
        <v>1.43</v>
      </c>
      <c r="C6">
        <v>97.6</v>
      </c>
      <c r="G6" t="s">
        <v>85</v>
      </c>
      <c r="H6">
        <f>_xlfn.XLOOKUP(G6,'[1]Politcal Stablity'!$A$2:$A$208,'[1]Politcal Stablity'!$B$2:$B$208)</f>
        <v>0.28999999999999998</v>
      </c>
      <c r="I6">
        <f>_xlfn.XLOOKUP(G6,'[1]Politcal Stablity'!$A$2:$A$208,'[1]Politcal Stablity'!$C$2:$C$208)</f>
        <v>55</v>
      </c>
    </row>
    <row r="7" spans="1:9" x14ac:dyDescent="0.3">
      <c r="A7" t="s">
        <v>60</v>
      </c>
      <c r="B7">
        <v>1.42</v>
      </c>
      <c r="C7">
        <v>97.2</v>
      </c>
      <c r="G7" t="s">
        <v>92</v>
      </c>
      <c r="H7">
        <f>_xlfn.XLOOKUP(G7,'[1]Politcal Stablity'!$A$2:$A$208,'[1]Politcal Stablity'!$B$2:$B$208)</f>
        <v>0.57999999999999996</v>
      </c>
      <c r="I7">
        <f>_xlfn.XLOOKUP(G7,'[1]Politcal Stablity'!$A$2:$A$208,'[1]Politcal Stablity'!$C$2:$C$208)</f>
        <v>64.900000000000006</v>
      </c>
    </row>
    <row r="8" spans="1:9" x14ac:dyDescent="0.3">
      <c r="A8" t="s">
        <v>353</v>
      </c>
      <c r="B8">
        <v>1.37</v>
      </c>
      <c r="C8">
        <v>96.7</v>
      </c>
      <c r="G8" t="s">
        <v>51</v>
      </c>
      <c r="H8">
        <f>_xlfn.XLOOKUP(G8,'[1]Politcal Stablity'!$A$2:$A$208,'[1]Politcal Stablity'!$B$2:$B$208)</f>
        <v>0.95</v>
      </c>
      <c r="I8">
        <f>_xlfn.XLOOKUP(G8,'[1]Politcal Stablity'!$A$2:$A$208,'[1]Politcal Stablity'!$C$2:$C$208)</f>
        <v>81.5</v>
      </c>
    </row>
    <row r="9" spans="1:9" x14ac:dyDescent="0.3">
      <c r="A9" t="s">
        <v>341</v>
      </c>
      <c r="B9">
        <v>1.36</v>
      </c>
      <c r="C9">
        <v>96.2</v>
      </c>
      <c r="G9" t="s">
        <v>70</v>
      </c>
      <c r="H9">
        <f>_xlfn.XLOOKUP(G9,'[1]Politcal Stablity'!$A$2:$A$208,'[1]Politcal Stablity'!$B$2:$B$208)</f>
        <v>-0.64</v>
      </c>
      <c r="I9">
        <f>_xlfn.XLOOKUP(G9,'[1]Politcal Stablity'!$A$2:$A$208,'[1]Politcal Stablity'!$C$2:$C$208)</f>
        <v>21.3</v>
      </c>
    </row>
    <row r="10" spans="1:9" x14ac:dyDescent="0.3">
      <c r="A10" t="s">
        <v>511</v>
      </c>
      <c r="B10">
        <v>1.29</v>
      </c>
      <c r="C10">
        <v>95.7</v>
      </c>
    </row>
    <row r="11" spans="1:9" x14ac:dyDescent="0.3">
      <c r="A11" t="s">
        <v>352</v>
      </c>
      <c r="B11">
        <v>1.21</v>
      </c>
      <c r="C11">
        <v>95.3</v>
      </c>
      <c r="G11" s="15" t="s">
        <v>508</v>
      </c>
      <c r="H11" s="15"/>
      <c r="I11" s="15"/>
    </row>
    <row r="12" spans="1:9" x14ac:dyDescent="0.3">
      <c r="A12" t="s">
        <v>512</v>
      </c>
      <c r="B12">
        <v>1.2</v>
      </c>
      <c r="C12">
        <v>94.8</v>
      </c>
    </row>
    <row r="13" spans="1:9" x14ac:dyDescent="0.3">
      <c r="A13" t="s">
        <v>513</v>
      </c>
      <c r="B13">
        <v>1.19</v>
      </c>
      <c r="C13">
        <v>93.8</v>
      </c>
    </row>
    <row r="14" spans="1:9" x14ac:dyDescent="0.3">
      <c r="A14" t="s">
        <v>514</v>
      </c>
      <c r="B14">
        <v>1.19</v>
      </c>
      <c r="C14">
        <v>94.3</v>
      </c>
    </row>
    <row r="15" spans="1:9" x14ac:dyDescent="0.3">
      <c r="A15" t="s">
        <v>326</v>
      </c>
      <c r="B15">
        <v>1.18</v>
      </c>
      <c r="C15">
        <v>93.4</v>
      </c>
    </row>
    <row r="16" spans="1:9" x14ac:dyDescent="0.3">
      <c r="A16" t="s">
        <v>515</v>
      </c>
      <c r="B16">
        <v>1.18</v>
      </c>
      <c r="C16">
        <v>93.4</v>
      </c>
    </row>
    <row r="17" spans="1:3" x14ac:dyDescent="0.3">
      <c r="A17" t="s">
        <v>516</v>
      </c>
      <c r="B17">
        <v>1.18</v>
      </c>
      <c r="C17">
        <v>93.4</v>
      </c>
    </row>
    <row r="18" spans="1:3" x14ac:dyDescent="0.3">
      <c r="A18" t="s">
        <v>517</v>
      </c>
      <c r="B18">
        <v>1.1100000000000001</v>
      </c>
      <c r="C18">
        <v>91.9</v>
      </c>
    </row>
    <row r="19" spans="1:3" x14ac:dyDescent="0.3">
      <c r="A19" t="s">
        <v>518</v>
      </c>
      <c r="B19">
        <v>1.1100000000000001</v>
      </c>
      <c r="C19">
        <v>91.9</v>
      </c>
    </row>
    <row r="20" spans="1:3" x14ac:dyDescent="0.3">
      <c r="A20" t="s">
        <v>519</v>
      </c>
      <c r="B20">
        <v>1.1000000000000001</v>
      </c>
      <c r="C20">
        <v>90.5</v>
      </c>
    </row>
    <row r="21" spans="1:3" x14ac:dyDescent="0.3">
      <c r="A21" t="s">
        <v>520</v>
      </c>
      <c r="B21">
        <v>1.1000000000000001</v>
      </c>
      <c r="C21">
        <v>91</v>
      </c>
    </row>
    <row r="22" spans="1:3" x14ac:dyDescent="0.3">
      <c r="A22" t="s">
        <v>521</v>
      </c>
      <c r="B22">
        <v>1.0900000000000001</v>
      </c>
      <c r="C22">
        <v>90</v>
      </c>
    </row>
    <row r="23" spans="1:3" x14ac:dyDescent="0.3">
      <c r="A23" t="s">
        <v>522</v>
      </c>
      <c r="B23">
        <v>1.08</v>
      </c>
      <c r="C23">
        <v>89.6</v>
      </c>
    </row>
    <row r="24" spans="1:3" x14ac:dyDescent="0.3">
      <c r="A24" t="s">
        <v>523</v>
      </c>
      <c r="B24">
        <v>1.08</v>
      </c>
      <c r="C24">
        <v>89.6</v>
      </c>
    </row>
    <row r="25" spans="1:3" x14ac:dyDescent="0.3">
      <c r="A25" t="s">
        <v>347</v>
      </c>
      <c r="B25">
        <v>1.07</v>
      </c>
      <c r="C25">
        <v>88.6</v>
      </c>
    </row>
    <row r="26" spans="1:3" x14ac:dyDescent="0.3">
      <c r="A26" t="s">
        <v>524</v>
      </c>
      <c r="B26">
        <v>1.07</v>
      </c>
      <c r="C26">
        <v>88.2</v>
      </c>
    </row>
    <row r="27" spans="1:3" x14ac:dyDescent="0.3">
      <c r="A27" t="s">
        <v>330</v>
      </c>
      <c r="B27">
        <v>1.05</v>
      </c>
      <c r="C27">
        <v>87.7</v>
      </c>
    </row>
    <row r="28" spans="1:3" x14ac:dyDescent="0.3">
      <c r="A28" t="s">
        <v>525</v>
      </c>
      <c r="B28">
        <v>1.04</v>
      </c>
      <c r="C28">
        <v>87.2</v>
      </c>
    </row>
    <row r="29" spans="1:3" x14ac:dyDescent="0.3">
      <c r="A29" t="s">
        <v>338</v>
      </c>
      <c r="B29">
        <v>1.02</v>
      </c>
      <c r="C29">
        <v>86.3</v>
      </c>
    </row>
    <row r="30" spans="1:3" x14ac:dyDescent="0.3">
      <c r="A30" t="s">
        <v>526</v>
      </c>
      <c r="B30">
        <v>1.02</v>
      </c>
      <c r="C30">
        <v>86.3</v>
      </c>
    </row>
    <row r="31" spans="1:3" x14ac:dyDescent="0.3">
      <c r="A31" t="s">
        <v>527</v>
      </c>
      <c r="B31">
        <v>1.02</v>
      </c>
      <c r="C31">
        <v>86.7</v>
      </c>
    </row>
    <row r="32" spans="1:3" x14ac:dyDescent="0.3">
      <c r="A32" t="s">
        <v>528</v>
      </c>
      <c r="B32">
        <v>1.01</v>
      </c>
      <c r="C32">
        <v>84.8</v>
      </c>
    </row>
    <row r="33" spans="1:3" x14ac:dyDescent="0.3">
      <c r="A33" t="s">
        <v>529</v>
      </c>
      <c r="B33">
        <v>0.99</v>
      </c>
      <c r="C33">
        <v>84.4</v>
      </c>
    </row>
    <row r="34" spans="1:3" x14ac:dyDescent="0.3">
      <c r="A34" t="s">
        <v>324</v>
      </c>
      <c r="B34">
        <v>0.98</v>
      </c>
      <c r="C34">
        <v>83.9</v>
      </c>
    </row>
    <row r="35" spans="1:3" x14ac:dyDescent="0.3">
      <c r="A35" t="s">
        <v>530</v>
      </c>
      <c r="B35">
        <v>0.98</v>
      </c>
      <c r="C35">
        <v>83.4</v>
      </c>
    </row>
    <row r="36" spans="1:3" x14ac:dyDescent="0.3">
      <c r="A36" t="s">
        <v>531</v>
      </c>
      <c r="B36">
        <v>0.98</v>
      </c>
      <c r="C36">
        <v>82.9</v>
      </c>
    </row>
    <row r="37" spans="1:3" x14ac:dyDescent="0.3">
      <c r="A37" t="s">
        <v>532</v>
      </c>
      <c r="B37">
        <v>0.97</v>
      </c>
      <c r="C37">
        <v>82.5</v>
      </c>
    </row>
    <row r="38" spans="1:3" x14ac:dyDescent="0.3">
      <c r="A38" t="s">
        <v>533</v>
      </c>
      <c r="B38">
        <v>0.96</v>
      </c>
      <c r="C38">
        <v>82</v>
      </c>
    </row>
    <row r="39" spans="1:3" x14ac:dyDescent="0.3">
      <c r="A39" t="s">
        <v>51</v>
      </c>
      <c r="B39">
        <v>0.95</v>
      </c>
      <c r="C39">
        <v>81.5</v>
      </c>
    </row>
    <row r="40" spans="1:3" x14ac:dyDescent="0.3">
      <c r="A40" t="s">
        <v>534</v>
      </c>
      <c r="B40">
        <v>0.93</v>
      </c>
      <c r="C40">
        <v>81</v>
      </c>
    </row>
    <row r="41" spans="1:3" x14ac:dyDescent="0.3">
      <c r="A41" t="s">
        <v>37</v>
      </c>
      <c r="B41">
        <v>0.92</v>
      </c>
      <c r="C41">
        <v>79.599999999999994</v>
      </c>
    </row>
    <row r="42" spans="1:3" x14ac:dyDescent="0.3">
      <c r="A42" t="s">
        <v>535</v>
      </c>
      <c r="B42">
        <v>0.92</v>
      </c>
      <c r="C42">
        <v>80.599999999999994</v>
      </c>
    </row>
    <row r="43" spans="1:3" x14ac:dyDescent="0.3">
      <c r="A43" t="s">
        <v>536</v>
      </c>
      <c r="B43">
        <v>0.92</v>
      </c>
      <c r="C43">
        <v>80.599999999999994</v>
      </c>
    </row>
    <row r="44" spans="1:3" x14ac:dyDescent="0.3">
      <c r="A44" t="s">
        <v>339</v>
      </c>
      <c r="B44">
        <v>0.9</v>
      </c>
      <c r="C44">
        <v>78.7</v>
      </c>
    </row>
    <row r="45" spans="1:3" x14ac:dyDescent="0.3">
      <c r="A45" t="s">
        <v>537</v>
      </c>
      <c r="B45">
        <v>0.9</v>
      </c>
      <c r="C45">
        <v>79.099999999999994</v>
      </c>
    </row>
    <row r="46" spans="1:3" x14ac:dyDescent="0.3">
      <c r="A46" t="s">
        <v>342</v>
      </c>
      <c r="B46">
        <v>0.89</v>
      </c>
      <c r="C46">
        <v>77.7</v>
      </c>
    </row>
    <row r="47" spans="1:3" x14ac:dyDescent="0.3">
      <c r="A47" t="s">
        <v>538</v>
      </c>
      <c r="B47">
        <v>0.89</v>
      </c>
      <c r="C47">
        <v>78.2</v>
      </c>
    </row>
    <row r="48" spans="1:3" x14ac:dyDescent="0.3">
      <c r="A48" t="s">
        <v>539</v>
      </c>
      <c r="B48">
        <v>0.87</v>
      </c>
      <c r="C48">
        <v>77.8</v>
      </c>
    </row>
    <row r="49" spans="1:3" x14ac:dyDescent="0.3">
      <c r="A49" t="s">
        <v>540</v>
      </c>
      <c r="B49">
        <v>0.86</v>
      </c>
      <c r="C49">
        <v>77.3</v>
      </c>
    </row>
    <row r="50" spans="1:3" x14ac:dyDescent="0.3">
      <c r="A50" t="s">
        <v>345</v>
      </c>
      <c r="B50">
        <v>0.85</v>
      </c>
      <c r="C50">
        <v>76.8</v>
      </c>
    </row>
    <row r="51" spans="1:3" x14ac:dyDescent="0.3">
      <c r="A51" t="s">
        <v>32</v>
      </c>
      <c r="B51">
        <v>0.82</v>
      </c>
      <c r="C51">
        <v>76.3</v>
      </c>
    </row>
    <row r="52" spans="1:3" x14ac:dyDescent="0.3">
      <c r="A52" t="s">
        <v>541</v>
      </c>
      <c r="B52">
        <v>0.82</v>
      </c>
      <c r="C52">
        <v>75.8</v>
      </c>
    </row>
    <row r="53" spans="1:3" x14ac:dyDescent="0.3">
      <c r="A53" t="s">
        <v>542</v>
      </c>
      <c r="B53">
        <v>0.81</v>
      </c>
      <c r="C53">
        <v>75.400000000000006</v>
      </c>
    </row>
    <row r="54" spans="1:3" x14ac:dyDescent="0.3">
      <c r="A54" t="s">
        <v>543</v>
      </c>
      <c r="B54">
        <v>0.78</v>
      </c>
      <c r="C54">
        <v>74.900000000000006</v>
      </c>
    </row>
    <row r="55" spans="1:3" x14ac:dyDescent="0.3">
      <c r="A55" t="s">
        <v>544</v>
      </c>
      <c r="B55">
        <v>0.76</v>
      </c>
      <c r="C55">
        <v>74.400000000000006</v>
      </c>
    </row>
    <row r="56" spans="1:3" x14ac:dyDescent="0.3">
      <c r="A56" t="s">
        <v>78</v>
      </c>
      <c r="B56">
        <v>0.76</v>
      </c>
      <c r="C56">
        <v>73.5</v>
      </c>
    </row>
    <row r="57" spans="1:3" x14ac:dyDescent="0.3">
      <c r="A57" t="s">
        <v>545</v>
      </c>
      <c r="B57">
        <v>0.76</v>
      </c>
      <c r="C57">
        <v>73.900000000000006</v>
      </c>
    </row>
    <row r="58" spans="1:3" x14ac:dyDescent="0.3">
      <c r="A58" t="s">
        <v>321</v>
      </c>
      <c r="B58">
        <v>0.74</v>
      </c>
      <c r="C58">
        <v>72.5</v>
      </c>
    </row>
    <row r="59" spans="1:3" x14ac:dyDescent="0.3">
      <c r="A59" t="s">
        <v>546</v>
      </c>
      <c r="B59">
        <v>0.74</v>
      </c>
      <c r="C59">
        <v>73</v>
      </c>
    </row>
    <row r="60" spans="1:3" x14ac:dyDescent="0.3">
      <c r="A60" t="s">
        <v>547</v>
      </c>
      <c r="B60">
        <v>0.73</v>
      </c>
      <c r="C60">
        <v>72</v>
      </c>
    </row>
    <row r="61" spans="1:3" x14ac:dyDescent="0.3">
      <c r="A61" t="s">
        <v>335</v>
      </c>
      <c r="B61">
        <v>0.73</v>
      </c>
      <c r="C61">
        <v>71.599999999999994</v>
      </c>
    </row>
    <row r="62" spans="1:3" x14ac:dyDescent="0.3">
      <c r="A62" t="s">
        <v>93</v>
      </c>
      <c r="B62">
        <v>0.71</v>
      </c>
      <c r="C62">
        <v>70.599999999999994</v>
      </c>
    </row>
    <row r="63" spans="1:3" x14ac:dyDescent="0.3">
      <c r="A63" t="s">
        <v>351</v>
      </c>
      <c r="B63">
        <v>0.71</v>
      </c>
      <c r="C63">
        <v>71.099999999999994</v>
      </c>
    </row>
    <row r="64" spans="1:3" x14ac:dyDescent="0.3">
      <c r="A64" t="s">
        <v>233</v>
      </c>
      <c r="B64">
        <v>0.68</v>
      </c>
      <c r="C64">
        <v>70.099999999999994</v>
      </c>
    </row>
    <row r="65" spans="1:3" x14ac:dyDescent="0.3">
      <c r="A65" t="s">
        <v>548</v>
      </c>
      <c r="B65">
        <v>0.67</v>
      </c>
      <c r="C65">
        <v>69.7</v>
      </c>
    </row>
    <row r="66" spans="1:3" x14ac:dyDescent="0.3">
      <c r="A66" t="s">
        <v>42</v>
      </c>
      <c r="B66">
        <v>0.66</v>
      </c>
      <c r="C66">
        <v>68.7</v>
      </c>
    </row>
    <row r="67" spans="1:3" x14ac:dyDescent="0.3">
      <c r="A67" t="s">
        <v>343</v>
      </c>
      <c r="B67">
        <v>0.66</v>
      </c>
      <c r="C67">
        <v>69.2</v>
      </c>
    </row>
    <row r="68" spans="1:3" x14ac:dyDescent="0.3">
      <c r="A68" t="s">
        <v>549</v>
      </c>
      <c r="B68">
        <v>0.61</v>
      </c>
      <c r="C68">
        <v>68.2</v>
      </c>
    </row>
    <row r="69" spans="1:3" x14ac:dyDescent="0.3">
      <c r="A69" t="s">
        <v>550</v>
      </c>
      <c r="B69">
        <v>0.6</v>
      </c>
      <c r="C69">
        <v>67.8</v>
      </c>
    </row>
    <row r="70" spans="1:3" x14ac:dyDescent="0.3">
      <c r="A70" t="s">
        <v>9</v>
      </c>
      <c r="B70">
        <v>0.59</v>
      </c>
      <c r="C70">
        <v>66.400000000000006</v>
      </c>
    </row>
    <row r="71" spans="1:3" x14ac:dyDescent="0.3">
      <c r="A71" t="s">
        <v>551</v>
      </c>
      <c r="B71">
        <v>0.59</v>
      </c>
      <c r="C71">
        <v>65.900000000000006</v>
      </c>
    </row>
    <row r="72" spans="1:3" x14ac:dyDescent="0.3">
      <c r="A72" t="s">
        <v>552</v>
      </c>
      <c r="B72">
        <v>0.59</v>
      </c>
      <c r="C72">
        <v>67.3</v>
      </c>
    </row>
    <row r="73" spans="1:3" x14ac:dyDescent="0.3">
      <c r="A73" t="s">
        <v>346</v>
      </c>
      <c r="B73">
        <v>0.59</v>
      </c>
      <c r="C73">
        <v>66.8</v>
      </c>
    </row>
    <row r="74" spans="1:3" x14ac:dyDescent="0.3">
      <c r="A74" t="s">
        <v>553</v>
      </c>
      <c r="B74">
        <v>0.59</v>
      </c>
      <c r="C74">
        <v>65.400000000000006</v>
      </c>
    </row>
    <row r="75" spans="1:3" x14ac:dyDescent="0.3">
      <c r="A75" t="s">
        <v>92</v>
      </c>
      <c r="B75">
        <v>0.57999999999999996</v>
      </c>
      <c r="C75">
        <v>64.900000000000006</v>
      </c>
    </row>
    <row r="76" spans="1:3" x14ac:dyDescent="0.3">
      <c r="A76" t="s">
        <v>554</v>
      </c>
      <c r="B76">
        <v>0.56999999999999995</v>
      </c>
      <c r="C76">
        <v>64.5</v>
      </c>
    </row>
    <row r="77" spans="1:3" x14ac:dyDescent="0.3">
      <c r="A77" t="s">
        <v>88</v>
      </c>
      <c r="B77">
        <v>0.56000000000000005</v>
      </c>
      <c r="C77">
        <v>64</v>
      </c>
    </row>
    <row r="78" spans="1:3" x14ac:dyDescent="0.3">
      <c r="A78" t="s">
        <v>555</v>
      </c>
      <c r="B78">
        <v>0.54</v>
      </c>
      <c r="C78">
        <v>63.5</v>
      </c>
    </row>
    <row r="79" spans="1:3" x14ac:dyDescent="0.3">
      <c r="A79" t="s">
        <v>556</v>
      </c>
      <c r="B79">
        <v>0.53</v>
      </c>
      <c r="C79">
        <v>62.6</v>
      </c>
    </row>
    <row r="80" spans="1:3" x14ac:dyDescent="0.3">
      <c r="A80" t="s">
        <v>557</v>
      </c>
      <c r="B80">
        <v>0.53</v>
      </c>
      <c r="C80">
        <v>63</v>
      </c>
    </row>
    <row r="81" spans="1:3" x14ac:dyDescent="0.3">
      <c r="A81" t="s">
        <v>16</v>
      </c>
      <c r="B81">
        <v>0.51</v>
      </c>
      <c r="C81">
        <v>62.1</v>
      </c>
    </row>
    <row r="82" spans="1:3" x14ac:dyDescent="0.3">
      <c r="A82" t="s">
        <v>344</v>
      </c>
      <c r="B82">
        <v>0.51</v>
      </c>
      <c r="C82">
        <v>61.1</v>
      </c>
    </row>
    <row r="83" spans="1:3" x14ac:dyDescent="0.3">
      <c r="A83" t="s">
        <v>558</v>
      </c>
      <c r="B83">
        <v>0.51</v>
      </c>
      <c r="C83">
        <v>61.6</v>
      </c>
    </row>
    <row r="84" spans="1:3" x14ac:dyDescent="0.3">
      <c r="A84" t="s">
        <v>559</v>
      </c>
      <c r="B84">
        <v>0.45</v>
      </c>
      <c r="C84">
        <v>60.7</v>
      </c>
    </row>
    <row r="85" spans="1:3" x14ac:dyDescent="0.3">
      <c r="A85" t="s">
        <v>560</v>
      </c>
      <c r="B85">
        <v>0.44</v>
      </c>
      <c r="C85">
        <v>60.2</v>
      </c>
    </row>
    <row r="86" spans="1:3" x14ac:dyDescent="0.3">
      <c r="A86" t="s">
        <v>234</v>
      </c>
      <c r="B86">
        <v>0.41</v>
      </c>
      <c r="C86">
        <v>58.8</v>
      </c>
    </row>
    <row r="87" spans="1:3" x14ac:dyDescent="0.3">
      <c r="A87" t="s">
        <v>561</v>
      </c>
      <c r="B87">
        <v>0.41</v>
      </c>
      <c r="C87">
        <v>59.2</v>
      </c>
    </row>
    <row r="88" spans="1:3" x14ac:dyDescent="0.3">
      <c r="A88" t="s">
        <v>562</v>
      </c>
      <c r="B88">
        <v>0.41</v>
      </c>
      <c r="C88">
        <v>59.7</v>
      </c>
    </row>
    <row r="89" spans="1:3" x14ac:dyDescent="0.3">
      <c r="A89" t="s">
        <v>331</v>
      </c>
      <c r="B89">
        <v>0.4</v>
      </c>
      <c r="C89">
        <v>58.3</v>
      </c>
    </row>
    <row r="90" spans="1:3" x14ac:dyDescent="0.3">
      <c r="A90" t="s">
        <v>563</v>
      </c>
      <c r="B90">
        <v>0.4</v>
      </c>
      <c r="C90">
        <v>57.8</v>
      </c>
    </row>
    <row r="91" spans="1:3" x14ac:dyDescent="0.3">
      <c r="A91" t="s">
        <v>564</v>
      </c>
      <c r="B91">
        <v>0.38</v>
      </c>
      <c r="C91">
        <v>56.9</v>
      </c>
    </row>
    <row r="92" spans="1:3" x14ac:dyDescent="0.3">
      <c r="A92" t="s">
        <v>565</v>
      </c>
      <c r="B92">
        <v>0.38</v>
      </c>
      <c r="C92">
        <v>57.3</v>
      </c>
    </row>
    <row r="93" spans="1:3" x14ac:dyDescent="0.3">
      <c r="A93" t="s">
        <v>566</v>
      </c>
      <c r="B93">
        <v>0.37</v>
      </c>
      <c r="C93">
        <v>56.4</v>
      </c>
    </row>
    <row r="94" spans="1:3" x14ac:dyDescent="0.3">
      <c r="A94" t="s">
        <v>27</v>
      </c>
      <c r="B94">
        <v>0.34</v>
      </c>
      <c r="C94">
        <v>55.9</v>
      </c>
    </row>
    <row r="95" spans="1:3" x14ac:dyDescent="0.3">
      <c r="A95" t="s">
        <v>327</v>
      </c>
      <c r="B95">
        <v>0.34</v>
      </c>
      <c r="C95">
        <v>55.5</v>
      </c>
    </row>
    <row r="96" spans="1:3" x14ac:dyDescent="0.3">
      <c r="A96" t="s">
        <v>85</v>
      </c>
      <c r="B96">
        <v>0.28999999999999998</v>
      </c>
      <c r="C96">
        <v>55</v>
      </c>
    </row>
    <row r="97" spans="1:3" x14ac:dyDescent="0.3">
      <c r="A97" t="s">
        <v>567</v>
      </c>
      <c r="B97">
        <v>0.26</v>
      </c>
      <c r="C97">
        <v>54.5</v>
      </c>
    </row>
    <row r="98" spans="1:3" x14ac:dyDescent="0.3">
      <c r="A98" t="s">
        <v>568</v>
      </c>
      <c r="B98">
        <v>0.24</v>
      </c>
      <c r="C98">
        <v>53.6</v>
      </c>
    </row>
    <row r="99" spans="1:3" x14ac:dyDescent="0.3">
      <c r="A99" t="s">
        <v>569</v>
      </c>
      <c r="B99">
        <v>0.24</v>
      </c>
      <c r="C99">
        <v>54</v>
      </c>
    </row>
    <row r="100" spans="1:3" x14ac:dyDescent="0.3">
      <c r="A100" t="s">
        <v>325</v>
      </c>
      <c r="B100">
        <v>0.23</v>
      </c>
      <c r="C100">
        <v>53.1</v>
      </c>
    </row>
    <row r="101" spans="1:3" x14ac:dyDescent="0.3">
      <c r="A101" t="s">
        <v>570</v>
      </c>
      <c r="B101">
        <v>0.21</v>
      </c>
      <c r="C101">
        <v>52.6</v>
      </c>
    </row>
    <row r="102" spans="1:3" x14ac:dyDescent="0.3">
      <c r="A102" t="s">
        <v>571</v>
      </c>
      <c r="B102">
        <v>0.2</v>
      </c>
      <c r="C102">
        <v>52.1</v>
      </c>
    </row>
    <row r="103" spans="1:3" x14ac:dyDescent="0.3">
      <c r="A103" t="s">
        <v>572</v>
      </c>
      <c r="B103">
        <v>0.18</v>
      </c>
      <c r="C103">
        <v>51.7</v>
      </c>
    </row>
    <row r="104" spans="1:3" x14ac:dyDescent="0.3">
      <c r="A104" t="s">
        <v>349</v>
      </c>
      <c r="B104">
        <v>0.17</v>
      </c>
      <c r="C104">
        <v>50.7</v>
      </c>
    </row>
    <row r="105" spans="1:3" x14ac:dyDescent="0.3">
      <c r="A105" t="s">
        <v>573</v>
      </c>
      <c r="B105">
        <v>0.17</v>
      </c>
      <c r="C105">
        <v>51.2</v>
      </c>
    </row>
    <row r="106" spans="1:3" x14ac:dyDescent="0.3">
      <c r="A106" t="s">
        <v>574</v>
      </c>
      <c r="B106">
        <v>0.14000000000000001</v>
      </c>
      <c r="C106">
        <v>50.2</v>
      </c>
    </row>
    <row r="107" spans="1:3" x14ac:dyDescent="0.3">
      <c r="A107" t="s">
        <v>575</v>
      </c>
      <c r="B107">
        <v>0.11</v>
      </c>
      <c r="C107">
        <v>49.8</v>
      </c>
    </row>
    <row r="108" spans="1:3" x14ac:dyDescent="0.3">
      <c r="A108" t="s">
        <v>576</v>
      </c>
      <c r="B108">
        <v>0.08</v>
      </c>
      <c r="C108">
        <v>49.3</v>
      </c>
    </row>
    <row r="109" spans="1:3" x14ac:dyDescent="0.3">
      <c r="A109" t="s">
        <v>577</v>
      </c>
      <c r="B109">
        <v>7.0000000000000007E-2</v>
      </c>
      <c r="C109">
        <v>48.8</v>
      </c>
    </row>
    <row r="110" spans="1:3" x14ac:dyDescent="0.3">
      <c r="A110" t="s">
        <v>337</v>
      </c>
      <c r="B110">
        <v>0.05</v>
      </c>
      <c r="C110">
        <v>48.3</v>
      </c>
    </row>
    <row r="111" spans="1:3" x14ac:dyDescent="0.3">
      <c r="A111" t="s">
        <v>578</v>
      </c>
      <c r="B111">
        <v>0.04</v>
      </c>
      <c r="C111">
        <v>47.9</v>
      </c>
    </row>
    <row r="112" spans="1:3" x14ac:dyDescent="0.3">
      <c r="A112" t="s">
        <v>2</v>
      </c>
      <c r="B112">
        <v>0.03</v>
      </c>
      <c r="C112">
        <v>47.4</v>
      </c>
    </row>
    <row r="113" spans="1:3" x14ac:dyDescent="0.3">
      <c r="A113" t="s">
        <v>579</v>
      </c>
      <c r="B113">
        <v>0.02</v>
      </c>
      <c r="C113">
        <v>46.9</v>
      </c>
    </row>
    <row r="114" spans="1:3" x14ac:dyDescent="0.3">
      <c r="A114" t="s">
        <v>580</v>
      </c>
      <c r="B114">
        <v>-0.01</v>
      </c>
      <c r="C114">
        <v>46</v>
      </c>
    </row>
    <row r="115" spans="1:3" x14ac:dyDescent="0.3">
      <c r="A115" t="s">
        <v>581</v>
      </c>
      <c r="B115">
        <v>-0.02</v>
      </c>
      <c r="C115">
        <v>45.5</v>
      </c>
    </row>
    <row r="116" spans="1:3" x14ac:dyDescent="0.3">
      <c r="A116" t="s">
        <v>582</v>
      </c>
      <c r="B116">
        <v>-0.04</v>
      </c>
      <c r="C116">
        <v>45</v>
      </c>
    </row>
    <row r="117" spans="1:3" x14ac:dyDescent="0.3">
      <c r="A117" t="s">
        <v>583</v>
      </c>
      <c r="B117">
        <v>-0.04</v>
      </c>
      <c r="C117">
        <v>44.5</v>
      </c>
    </row>
    <row r="118" spans="1:3" x14ac:dyDescent="0.3">
      <c r="A118" t="s">
        <v>584</v>
      </c>
      <c r="B118">
        <v>-0.05</v>
      </c>
      <c r="C118">
        <v>44.1</v>
      </c>
    </row>
    <row r="119" spans="1:3" x14ac:dyDescent="0.3">
      <c r="A119" t="s">
        <v>585</v>
      </c>
      <c r="B119">
        <v>-0.06</v>
      </c>
      <c r="C119">
        <v>43.6</v>
      </c>
    </row>
    <row r="120" spans="1:3" x14ac:dyDescent="0.3">
      <c r="A120" t="s">
        <v>586</v>
      </c>
      <c r="B120">
        <v>-0.11</v>
      </c>
      <c r="C120">
        <v>43.1</v>
      </c>
    </row>
    <row r="121" spans="1:3" x14ac:dyDescent="0.3">
      <c r="A121" t="s">
        <v>587</v>
      </c>
      <c r="B121">
        <v>-0.12</v>
      </c>
      <c r="C121">
        <v>42.7</v>
      </c>
    </row>
    <row r="122" spans="1:3" x14ac:dyDescent="0.3">
      <c r="A122" t="s">
        <v>328</v>
      </c>
      <c r="B122">
        <v>-0.13</v>
      </c>
      <c r="C122">
        <v>41.7</v>
      </c>
    </row>
    <row r="123" spans="1:3" x14ac:dyDescent="0.3">
      <c r="A123" t="s">
        <v>588</v>
      </c>
      <c r="B123">
        <v>-0.13</v>
      </c>
      <c r="C123">
        <v>42.2</v>
      </c>
    </row>
    <row r="124" spans="1:3" x14ac:dyDescent="0.3">
      <c r="A124" t="s">
        <v>589</v>
      </c>
      <c r="B124">
        <v>-0.14000000000000001</v>
      </c>
      <c r="C124">
        <v>41.2</v>
      </c>
    </row>
    <row r="125" spans="1:3" x14ac:dyDescent="0.3">
      <c r="A125" t="s">
        <v>590</v>
      </c>
      <c r="B125">
        <v>-0.15</v>
      </c>
      <c r="C125">
        <v>40.799999999999997</v>
      </c>
    </row>
    <row r="126" spans="1:3" x14ac:dyDescent="0.3">
      <c r="A126" t="s">
        <v>591</v>
      </c>
      <c r="B126">
        <v>-0.2</v>
      </c>
      <c r="C126">
        <v>40.299999999999997</v>
      </c>
    </row>
    <row r="127" spans="1:3" x14ac:dyDescent="0.3">
      <c r="A127" t="s">
        <v>592</v>
      </c>
      <c r="B127">
        <v>-0.21</v>
      </c>
      <c r="C127">
        <v>39.799999999999997</v>
      </c>
    </row>
    <row r="128" spans="1:3" x14ac:dyDescent="0.3">
      <c r="A128" t="s">
        <v>231</v>
      </c>
      <c r="B128">
        <v>-0.23</v>
      </c>
      <c r="C128">
        <v>39.299999999999997</v>
      </c>
    </row>
    <row r="129" spans="1:3" x14ac:dyDescent="0.3">
      <c r="A129" t="s">
        <v>593</v>
      </c>
      <c r="B129">
        <v>-0.23</v>
      </c>
      <c r="C129">
        <v>38.9</v>
      </c>
    </row>
    <row r="130" spans="1:3" x14ac:dyDescent="0.3">
      <c r="A130" t="s">
        <v>594</v>
      </c>
      <c r="B130">
        <v>-0.24</v>
      </c>
      <c r="C130">
        <v>37.9</v>
      </c>
    </row>
    <row r="131" spans="1:3" x14ac:dyDescent="0.3">
      <c r="A131" t="s">
        <v>595</v>
      </c>
      <c r="B131">
        <v>-0.24</v>
      </c>
      <c r="C131">
        <v>37</v>
      </c>
    </row>
    <row r="132" spans="1:3" x14ac:dyDescent="0.3">
      <c r="A132" t="s">
        <v>596</v>
      </c>
      <c r="B132">
        <v>-0.24</v>
      </c>
      <c r="C132">
        <v>37.4</v>
      </c>
    </row>
    <row r="133" spans="1:3" x14ac:dyDescent="0.3">
      <c r="A133" t="s">
        <v>597</v>
      </c>
      <c r="B133">
        <v>-0.24</v>
      </c>
      <c r="C133">
        <v>38.4</v>
      </c>
    </row>
    <row r="134" spans="1:3" x14ac:dyDescent="0.3">
      <c r="A134" t="s">
        <v>598</v>
      </c>
      <c r="B134">
        <v>-0.27</v>
      </c>
      <c r="C134">
        <v>36.5</v>
      </c>
    </row>
    <row r="135" spans="1:3" x14ac:dyDescent="0.3">
      <c r="A135" t="s">
        <v>599</v>
      </c>
      <c r="B135">
        <v>-0.28000000000000003</v>
      </c>
      <c r="C135">
        <v>36</v>
      </c>
    </row>
    <row r="136" spans="1:3" x14ac:dyDescent="0.3">
      <c r="A136" t="s">
        <v>329</v>
      </c>
      <c r="B136">
        <v>-0.31</v>
      </c>
      <c r="C136">
        <v>35.1</v>
      </c>
    </row>
    <row r="137" spans="1:3" x14ac:dyDescent="0.3">
      <c r="A137" t="s">
        <v>600</v>
      </c>
      <c r="B137">
        <v>-0.31</v>
      </c>
      <c r="C137">
        <v>35.5</v>
      </c>
    </row>
    <row r="138" spans="1:3" x14ac:dyDescent="0.3">
      <c r="A138" t="s">
        <v>601</v>
      </c>
      <c r="B138">
        <v>-0.33</v>
      </c>
      <c r="C138">
        <v>34.1</v>
      </c>
    </row>
    <row r="139" spans="1:3" x14ac:dyDescent="0.3">
      <c r="A139" t="s">
        <v>602</v>
      </c>
      <c r="B139">
        <v>-0.34</v>
      </c>
      <c r="C139">
        <v>32.200000000000003</v>
      </c>
    </row>
    <row r="140" spans="1:3" x14ac:dyDescent="0.3">
      <c r="A140" t="s">
        <v>603</v>
      </c>
      <c r="B140">
        <v>-0.34</v>
      </c>
      <c r="C140">
        <v>32.700000000000003</v>
      </c>
    </row>
    <row r="141" spans="1:3" x14ac:dyDescent="0.3">
      <c r="A141" t="s">
        <v>604</v>
      </c>
      <c r="B141">
        <v>-0.34</v>
      </c>
      <c r="C141">
        <v>33.200000000000003</v>
      </c>
    </row>
    <row r="142" spans="1:3" x14ac:dyDescent="0.3">
      <c r="A142" t="s">
        <v>605</v>
      </c>
      <c r="B142">
        <v>-0.34</v>
      </c>
      <c r="C142">
        <v>33.6</v>
      </c>
    </row>
    <row r="143" spans="1:3" x14ac:dyDescent="0.3">
      <c r="A143" t="s">
        <v>606</v>
      </c>
      <c r="B143">
        <v>-0.35</v>
      </c>
      <c r="C143">
        <v>31.8</v>
      </c>
    </row>
    <row r="144" spans="1:3" x14ac:dyDescent="0.3">
      <c r="A144" t="s">
        <v>607</v>
      </c>
      <c r="B144">
        <v>-0.35</v>
      </c>
      <c r="C144">
        <v>31.3</v>
      </c>
    </row>
    <row r="145" spans="1:3" x14ac:dyDescent="0.3">
      <c r="A145" t="s">
        <v>608</v>
      </c>
      <c r="B145">
        <v>-0.36</v>
      </c>
      <c r="C145">
        <v>30.8</v>
      </c>
    </row>
    <row r="146" spans="1:3" x14ac:dyDescent="0.3">
      <c r="A146" t="s">
        <v>609</v>
      </c>
      <c r="B146">
        <v>-0.37</v>
      </c>
      <c r="C146">
        <v>29.9</v>
      </c>
    </row>
    <row r="147" spans="1:3" x14ac:dyDescent="0.3">
      <c r="A147" t="s">
        <v>610</v>
      </c>
      <c r="B147">
        <v>-0.37</v>
      </c>
      <c r="C147">
        <v>30.3</v>
      </c>
    </row>
    <row r="148" spans="1:3" x14ac:dyDescent="0.3">
      <c r="A148" t="s">
        <v>230</v>
      </c>
      <c r="B148">
        <v>-0.37</v>
      </c>
      <c r="C148">
        <v>29.4</v>
      </c>
    </row>
    <row r="149" spans="1:3" x14ac:dyDescent="0.3">
      <c r="A149" t="s">
        <v>81</v>
      </c>
      <c r="B149">
        <v>-0.4</v>
      </c>
      <c r="C149">
        <v>28.9</v>
      </c>
    </row>
    <row r="150" spans="1:3" x14ac:dyDescent="0.3">
      <c r="A150" t="s">
        <v>55</v>
      </c>
      <c r="B150">
        <v>-0.41</v>
      </c>
      <c r="C150">
        <v>28.4</v>
      </c>
    </row>
    <row r="151" spans="1:3" x14ac:dyDescent="0.3">
      <c r="A151" t="s">
        <v>611</v>
      </c>
      <c r="B151">
        <v>-0.46</v>
      </c>
      <c r="C151">
        <v>28</v>
      </c>
    </row>
    <row r="152" spans="1:3" x14ac:dyDescent="0.3">
      <c r="A152" t="s">
        <v>235</v>
      </c>
      <c r="B152">
        <v>-0.47</v>
      </c>
      <c r="C152">
        <v>27.5</v>
      </c>
    </row>
    <row r="153" spans="1:3" x14ac:dyDescent="0.3">
      <c r="A153" t="s">
        <v>612</v>
      </c>
      <c r="B153">
        <v>-0.48</v>
      </c>
      <c r="C153">
        <v>27</v>
      </c>
    </row>
    <row r="154" spans="1:3" x14ac:dyDescent="0.3">
      <c r="A154" t="s">
        <v>613</v>
      </c>
      <c r="B154">
        <v>-0.48</v>
      </c>
      <c r="C154">
        <v>26.5</v>
      </c>
    </row>
    <row r="155" spans="1:3" x14ac:dyDescent="0.3">
      <c r="A155" t="s">
        <v>614</v>
      </c>
      <c r="B155">
        <v>-0.5</v>
      </c>
      <c r="C155">
        <v>26.1</v>
      </c>
    </row>
    <row r="156" spans="1:3" x14ac:dyDescent="0.3">
      <c r="A156" t="s">
        <v>21</v>
      </c>
      <c r="B156">
        <v>-0.51</v>
      </c>
      <c r="C156">
        <v>25.1</v>
      </c>
    </row>
    <row r="157" spans="1:3" x14ac:dyDescent="0.3">
      <c r="A157" t="s">
        <v>615</v>
      </c>
      <c r="B157">
        <v>-0.51</v>
      </c>
      <c r="C157">
        <v>25.6</v>
      </c>
    </row>
    <row r="158" spans="1:3" x14ac:dyDescent="0.3">
      <c r="A158" t="s">
        <v>616</v>
      </c>
      <c r="B158">
        <v>-0.52</v>
      </c>
      <c r="C158">
        <v>24.2</v>
      </c>
    </row>
    <row r="159" spans="1:3" x14ac:dyDescent="0.3">
      <c r="A159" t="s">
        <v>617</v>
      </c>
      <c r="B159">
        <v>-0.52</v>
      </c>
      <c r="C159">
        <v>24.6</v>
      </c>
    </row>
    <row r="160" spans="1:3" x14ac:dyDescent="0.3">
      <c r="A160" t="s">
        <v>618</v>
      </c>
      <c r="B160">
        <v>-0.56999999999999995</v>
      </c>
      <c r="C160">
        <v>23.7</v>
      </c>
    </row>
    <row r="161" spans="1:3" x14ac:dyDescent="0.3">
      <c r="A161" t="s">
        <v>619</v>
      </c>
      <c r="B161">
        <v>-0.57999999999999996</v>
      </c>
      <c r="C161">
        <v>23.2</v>
      </c>
    </row>
    <row r="162" spans="1:3" x14ac:dyDescent="0.3">
      <c r="A162" t="s">
        <v>75</v>
      </c>
      <c r="B162">
        <v>-0.63</v>
      </c>
      <c r="C162">
        <v>22.7</v>
      </c>
    </row>
    <row r="163" spans="1:3" x14ac:dyDescent="0.3">
      <c r="A163" t="s">
        <v>620</v>
      </c>
      <c r="B163">
        <v>-0.63</v>
      </c>
      <c r="C163">
        <v>21.8</v>
      </c>
    </row>
    <row r="164" spans="1:3" x14ac:dyDescent="0.3">
      <c r="A164" t="s">
        <v>621</v>
      </c>
      <c r="B164">
        <v>-0.63</v>
      </c>
      <c r="C164">
        <v>22.3</v>
      </c>
    </row>
    <row r="165" spans="1:3" x14ac:dyDescent="0.3">
      <c r="A165" t="s">
        <v>70</v>
      </c>
      <c r="B165">
        <v>-0.64</v>
      </c>
      <c r="C165">
        <v>21.3</v>
      </c>
    </row>
    <row r="166" spans="1:3" x14ac:dyDescent="0.3">
      <c r="A166" t="s">
        <v>65</v>
      </c>
      <c r="B166">
        <v>-0.67</v>
      </c>
      <c r="C166">
        <v>20.9</v>
      </c>
    </row>
    <row r="167" spans="1:3" x14ac:dyDescent="0.3">
      <c r="A167" t="s">
        <v>332</v>
      </c>
      <c r="B167">
        <v>-0.68</v>
      </c>
      <c r="C167">
        <v>20.399999999999999</v>
      </c>
    </row>
    <row r="168" spans="1:3" x14ac:dyDescent="0.3">
      <c r="A168" t="s">
        <v>622</v>
      </c>
      <c r="B168">
        <v>-0.69</v>
      </c>
      <c r="C168">
        <v>19.899999999999999</v>
      </c>
    </row>
    <row r="169" spans="1:3" x14ac:dyDescent="0.3">
      <c r="A169" t="s">
        <v>623</v>
      </c>
      <c r="B169">
        <v>-0.7</v>
      </c>
      <c r="C169">
        <v>19.399999999999999</v>
      </c>
    </row>
    <row r="170" spans="1:3" x14ac:dyDescent="0.3">
      <c r="A170" t="s">
        <v>624</v>
      </c>
      <c r="B170">
        <v>-0.72</v>
      </c>
      <c r="C170">
        <v>19</v>
      </c>
    </row>
    <row r="171" spans="1:3" x14ac:dyDescent="0.3">
      <c r="A171" t="s">
        <v>625</v>
      </c>
      <c r="B171">
        <v>-0.73</v>
      </c>
      <c r="C171">
        <v>18</v>
      </c>
    </row>
    <row r="172" spans="1:3" x14ac:dyDescent="0.3">
      <c r="A172" t="s">
        <v>323</v>
      </c>
      <c r="B172">
        <v>-0.73</v>
      </c>
      <c r="C172">
        <v>18.5</v>
      </c>
    </row>
    <row r="173" spans="1:3" x14ac:dyDescent="0.3">
      <c r="A173" t="s">
        <v>626</v>
      </c>
      <c r="B173">
        <v>-0.79</v>
      </c>
      <c r="C173">
        <v>17.5</v>
      </c>
    </row>
    <row r="174" spans="1:3" x14ac:dyDescent="0.3">
      <c r="A174" t="s">
        <v>627</v>
      </c>
      <c r="B174">
        <v>-0.83</v>
      </c>
      <c r="C174">
        <v>17.100000000000001</v>
      </c>
    </row>
    <row r="175" spans="1:3" x14ac:dyDescent="0.3">
      <c r="A175" t="s">
        <v>232</v>
      </c>
      <c r="B175">
        <v>-0.87</v>
      </c>
      <c r="C175">
        <v>16.600000000000001</v>
      </c>
    </row>
    <row r="176" spans="1:3" x14ac:dyDescent="0.3">
      <c r="A176" t="s">
        <v>628</v>
      </c>
      <c r="B176">
        <v>-0.88</v>
      </c>
      <c r="C176">
        <v>16.100000000000001</v>
      </c>
    </row>
    <row r="177" spans="1:3" x14ac:dyDescent="0.3">
      <c r="A177" t="s">
        <v>228</v>
      </c>
      <c r="B177">
        <v>-0.91</v>
      </c>
      <c r="C177">
        <v>15.6</v>
      </c>
    </row>
    <row r="178" spans="1:3" x14ac:dyDescent="0.3">
      <c r="A178" t="s">
        <v>629</v>
      </c>
      <c r="B178">
        <v>-0.93</v>
      </c>
      <c r="C178">
        <v>15.2</v>
      </c>
    </row>
    <row r="179" spans="1:3" x14ac:dyDescent="0.3">
      <c r="A179" t="s">
        <v>630</v>
      </c>
      <c r="B179">
        <v>-0.94</v>
      </c>
      <c r="C179">
        <v>14.7</v>
      </c>
    </row>
    <row r="180" spans="1:3" x14ac:dyDescent="0.3">
      <c r="A180" t="s">
        <v>631</v>
      </c>
      <c r="B180">
        <v>-0.95</v>
      </c>
      <c r="C180">
        <v>14.2</v>
      </c>
    </row>
    <row r="181" spans="1:3" x14ac:dyDescent="0.3">
      <c r="A181" t="s">
        <v>632</v>
      </c>
      <c r="B181">
        <v>-1.01</v>
      </c>
      <c r="C181">
        <v>13.7</v>
      </c>
    </row>
    <row r="182" spans="1:3" x14ac:dyDescent="0.3">
      <c r="A182" t="s">
        <v>47</v>
      </c>
      <c r="B182">
        <v>-1.1299999999999999</v>
      </c>
      <c r="C182">
        <v>13.3</v>
      </c>
    </row>
    <row r="183" spans="1:3" x14ac:dyDescent="0.3">
      <c r="A183" t="s">
        <v>633</v>
      </c>
      <c r="B183">
        <v>-1.17</v>
      </c>
      <c r="C183">
        <v>12.8</v>
      </c>
    </row>
    <row r="184" spans="1:3" x14ac:dyDescent="0.3">
      <c r="A184" t="s">
        <v>634</v>
      </c>
      <c r="B184">
        <v>-1.19</v>
      </c>
      <c r="C184">
        <v>12.3</v>
      </c>
    </row>
    <row r="185" spans="1:3" x14ac:dyDescent="0.3">
      <c r="A185" t="s">
        <v>635</v>
      </c>
      <c r="B185">
        <v>-1.27</v>
      </c>
      <c r="C185">
        <v>11.8</v>
      </c>
    </row>
    <row r="186" spans="1:3" x14ac:dyDescent="0.3">
      <c r="A186" t="s">
        <v>636</v>
      </c>
      <c r="B186">
        <v>-1.4</v>
      </c>
      <c r="C186">
        <v>11.4</v>
      </c>
    </row>
    <row r="187" spans="1:3" x14ac:dyDescent="0.3">
      <c r="A187" t="s">
        <v>637</v>
      </c>
      <c r="B187">
        <v>-1.43</v>
      </c>
      <c r="C187">
        <v>10.9</v>
      </c>
    </row>
    <row r="188" spans="1:3" x14ac:dyDescent="0.3">
      <c r="A188" t="s">
        <v>638</v>
      </c>
      <c r="B188">
        <v>-1.43</v>
      </c>
      <c r="C188">
        <v>10.4</v>
      </c>
    </row>
    <row r="189" spans="1:3" x14ac:dyDescent="0.3">
      <c r="A189" t="s">
        <v>639</v>
      </c>
      <c r="B189">
        <v>-1.46</v>
      </c>
      <c r="C189">
        <v>10</v>
      </c>
    </row>
    <row r="190" spans="1:3" x14ac:dyDescent="0.3">
      <c r="A190" t="s">
        <v>640</v>
      </c>
      <c r="B190">
        <v>-1.52</v>
      </c>
      <c r="C190">
        <v>9.5</v>
      </c>
    </row>
    <row r="191" spans="1:3" x14ac:dyDescent="0.3">
      <c r="A191" t="s">
        <v>641</v>
      </c>
      <c r="B191">
        <v>-1.56</v>
      </c>
      <c r="C191">
        <v>9</v>
      </c>
    </row>
    <row r="192" spans="1:3" x14ac:dyDescent="0.3">
      <c r="A192" t="s">
        <v>642</v>
      </c>
      <c r="B192">
        <v>-1.67</v>
      </c>
      <c r="C192">
        <v>8.5</v>
      </c>
    </row>
    <row r="193" spans="1:3" x14ac:dyDescent="0.3">
      <c r="A193" t="s">
        <v>643</v>
      </c>
      <c r="B193">
        <v>-1.69</v>
      </c>
      <c r="C193">
        <v>8.1</v>
      </c>
    </row>
    <row r="194" spans="1:3" x14ac:dyDescent="0.3">
      <c r="A194" t="s">
        <v>644</v>
      </c>
      <c r="B194">
        <v>-1.77</v>
      </c>
      <c r="C194">
        <v>7.6</v>
      </c>
    </row>
    <row r="195" spans="1:3" x14ac:dyDescent="0.3">
      <c r="A195" t="s">
        <v>645</v>
      </c>
      <c r="B195">
        <v>-1.87</v>
      </c>
      <c r="C195">
        <v>7.1</v>
      </c>
    </row>
    <row r="196" spans="1:3" x14ac:dyDescent="0.3">
      <c r="A196" t="s">
        <v>229</v>
      </c>
      <c r="B196">
        <v>-1.93</v>
      </c>
      <c r="C196">
        <v>6.6</v>
      </c>
    </row>
    <row r="197" spans="1:3" x14ac:dyDescent="0.3">
      <c r="A197" t="s">
        <v>646</v>
      </c>
      <c r="B197">
        <v>-1.97</v>
      </c>
      <c r="C197">
        <v>6.2</v>
      </c>
    </row>
    <row r="198" spans="1:3" x14ac:dyDescent="0.3">
      <c r="A198" t="s">
        <v>647</v>
      </c>
      <c r="B198">
        <v>-2.04</v>
      </c>
      <c r="C198">
        <v>5.2</v>
      </c>
    </row>
    <row r="199" spans="1:3" x14ac:dyDescent="0.3">
      <c r="A199" t="s">
        <v>648</v>
      </c>
      <c r="B199">
        <v>-2.04</v>
      </c>
      <c r="C199">
        <v>5.7</v>
      </c>
    </row>
    <row r="200" spans="1:3" x14ac:dyDescent="0.3">
      <c r="A200" t="s">
        <v>649</v>
      </c>
      <c r="B200">
        <v>-2.13</v>
      </c>
      <c r="C200">
        <v>4.7</v>
      </c>
    </row>
    <row r="201" spans="1:3" x14ac:dyDescent="0.3">
      <c r="A201" t="s">
        <v>650</v>
      </c>
      <c r="B201">
        <v>-2.17</v>
      </c>
      <c r="C201">
        <v>4.3</v>
      </c>
    </row>
    <row r="202" spans="1:3" x14ac:dyDescent="0.3">
      <c r="A202" t="s">
        <v>651</v>
      </c>
      <c r="B202">
        <v>-2.19</v>
      </c>
      <c r="C202">
        <v>3.8</v>
      </c>
    </row>
    <row r="203" spans="1:3" x14ac:dyDescent="0.3">
      <c r="A203" t="s">
        <v>652</v>
      </c>
      <c r="B203">
        <v>-2.2000000000000002</v>
      </c>
      <c r="C203">
        <v>3.3</v>
      </c>
    </row>
    <row r="204" spans="1:3" x14ac:dyDescent="0.3">
      <c r="A204" t="s">
        <v>653</v>
      </c>
      <c r="B204">
        <v>-2.38</v>
      </c>
      <c r="C204">
        <v>2.8</v>
      </c>
    </row>
    <row r="205" spans="1:3" x14ac:dyDescent="0.3">
      <c r="A205" t="s">
        <v>654</v>
      </c>
      <c r="B205">
        <v>-2.41</v>
      </c>
      <c r="C205">
        <v>2.4</v>
      </c>
    </row>
    <row r="206" spans="1:3" x14ac:dyDescent="0.3">
      <c r="A206" t="s">
        <v>655</v>
      </c>
      <c r="B206">
        <v>-2.4700000000000002</v>
      </c>
      <c r="C206">
        <v>1.9</v>
      </c>
    </row>
    <row r="207" spans="1:3" x14ac:dyDescent="0.3">
      <c r="A207" t="s">
        <v>656</v>
      </c>
      <c r="B207">
        <v>-2.48</v>
      </c>
      <c r="C207">
        <v>1.4</v>
      </c>
    </row>
    <row r="208" spans="1:3" x14ac:dyDescent="0.3">
      <c r="A208" t="s">
        <v>657</v>
      </c>
      <c r="B208">
        <v>-2.56</v>
      </c>
      <c r="C208">
        <v>0.9</v>
      </c>
    </row>
    <row r="209" spans="1:3" x14ac:dyDescent="0.3">
      <c r="A209" t="s">
        <v>658</v>
      </c>
      <c r="B209">
        <v>-2.73</v>
      </c>
      <c r="C209">
        <v>0.5</v>
      </c>
    </row>
    <row r="210" spans="1:3" x14ac:dyDescent="0.3">
      <c r="A210" t="s">
        <v>659</v>
      </c>
      <c r="B210">
        <v>-2.75</v>
      </c>
    </row>
    <row r="211" spans="1:3" x14ac:dyDescent="0.3">
      <c r="A211" t="s">
        <v>660</v>
      </c>
      <c r="C211">
        <v>46.4</v>
      </c>
    </row>
  </sheetData>
  <mergeCells count="1">
    <mergeCell ref="G11:I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AF4695-9FA3-40DE-8687-7C61035F5E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Datacenter by countries</vt:lpstr>
      <vt:lpstr>Top_20</vt:lpstr>
      <vt:lpstr>20_companies</vt:lpstr>
      <vt:lpstr>Future_projects</vt:lpstr>
      <vt:lpstr>AQI_Countries</vt:lpstr>
      <vt:lpstr>AQI_Cities</vt:lpstr>
      <vt:lpstr>Political Stablility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AMALDEV</dc:creator>
  <cp:lastModifiedBy>Amaldev K M</cp:lastModifiedBy>
  <dcterms:created xsi:type="dcterms:W3CDTF">2025-10-31T06:17:58Z</dcterms:created>
  <dcterms:modified xsi:type="dcterms:W3CDTF">2025-11-10T12:00:35Z</dcterms:modified>
</cp:coreProperties>
</file>